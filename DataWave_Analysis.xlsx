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ntuac-my.sharepoint.com/personal/n1423084_my_ntu_ac_uk/Documents/IOA/Data Set/"/>
    </mc:Choice>
  </mc:AlternateContent>
  <xr:revisionPtr revIDLastSave="1032" documentId="8_{60B0812F-1F12-466D-84EF-3CD11E3D2322}" xr6:coauthVersionLast="47" xr6:coauthVersionMax="47" xr10:uidLastSave="{DAE182CB-688F-4362-8683-7ECC34021683}"/>
  <bookViews>
    <workbookView xWindow="-108" yWindow="-108" windowWidth="23256" windowHeight="13896" xr2:uid="{07FE5E4B-044C-4C13-B3BE-948AB50B72E1}"/>
  </bookViews>
  <sheets>
    <sheet name="customer_data_removed_duplicate" sheetId="2" r:id="rId1"/>
    <sheet name="Churn Analysis" sheetId="1" r:id="rId2"/>
    <sheet name="Age Categories" sheetId="4" r:id="rId3"/>
    <sheet name="Pivot Table" sheetId="3" r:id="rId4"/>
  </sheets>
  <definedNames>
    <definedName name="ExternalData_1" localSheetId="0" hidden="1">customer_data_removed_duplicate!$A$1:$M$701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35" i="2" l="1"/>
  <c r="P734" i="2"/>
  <c r="P733" i="2"/>
  <c r="P732" i="2"/>
  <c r="P731" i="2"/>
  <c r="B2" i="1"/>
  <c r="J18" i="3"/>
  <c r="K18" i="3"/>
  <c r="L18" i="3"/>
  <c r="M18" i="3"/>
  <c r="N18" i="3"/>
  <c r="O18" i="3"/>
  <c r="P18" i="3"/>
  <c r="I18" i="3"/>
  <c r="H18" i="3"/>
  <c r="AL3" i="1"/>
  <c r="AL4" i="1"/>
  <c r="AL2" i="1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AG7" i="1"/>
  <c r="AG6" i="1"/>
  <c r="AG5" i="1"/>
  <c r="AG4" i="1"/>
  <c r="AG3" i="1"/>
  <c r="AG2" i="1"/>
  <c r="AF7" i="1"/>
  <c r="AF6" i="1"/>
  <c r="AF5" i="1"/>
  <c r="AF4" i="1"/>
  <c r="AF3" i="1"/>
  <c r="AF2" i="1"/>
  <c r="AE7" i="1"/>
  <c r="AE6" i="1"/>
  <c r="AE5" i="1"/>
  <c r="AE4" i="1"/>
  <c r="AE3" i="1"/>
  <c r="AE2" i="1"/>
  <c r="Z7" i="1"/>
  <c r="Z6" i="1"/>
  <c r="Z5" i="1"/>
  <c r="Z4" i="1"/>
  <c r="Z3" i="1"/>
  <c r="Z2" i="1"/>
  <c r="Y7" i="1"/>
  <c r="Y6" i="1"/>
  <c r="Y5" i="1"/>
  <c r="Y4" i="1"/>
  <c r="Y3" i="1"/>
  <c r="Y2" i="1"/>
  <c r="X7" i="1"/>
  <c r="X6" i="1"/>
  <c r="X5" i="1"/>
  <c r="X4" i="1"/>
  <c r="X3" i="1"/>
  <c r="X2" i="1"/>
  <c r="T3" i="1"/>
  <c r="T4" i="1"/>
  <c r="T5" i="1"/>
  <c r="T2" i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2" i="4"/>
  <c r="B3" i="1"/>
  <c r="B4" i="1"/>
  <c r="B5" i="1"/>
  <c r="B6" i="1"/>
  <c r="D2" i="1" a="1"/>
  <c r="D2" i="1" s="1"/>
  <c r="F2" i="1" s="1"/>
  <c r="P11" i="3"/>
  <c r="P10" i="3"/>
  <c r="P9" i="3"/>
  <c r="P8" i="3"/>
  <c r="P7" i="3"/>
  <c r="P6" i="3"/>
  <c r="O11" i="3"/>
  <c r="O10" i="3"/>
  <c r="O9" i="3"/>
  <c r="O8" i="3"/>
  <c r="O7" i="3"/>
  <c r="O6" i="3"/>
  <c r="N11" i="3"/>
  <c r="N10" i="3"/>
  <c r="N9" i="3"/>
  <c r="N8" i="3"/>
  <c r="N7" i="3"/>
  <c r="N6" i="3"/>
  <c r="M11" i="3"/>
  <c r="M10" i="3"/>
  <c r="M9" i="3"/>
  <c r="M8" i="3"/>
  <c r="M7" i="3"/>
  <c r="M6" i="3"/>
  <c r="L11" i="3"/>
  <c r="L10" i="3"/>
  <c r="L9" i="3"/>
  <c r="L8" i="3"/>
  <c r="L7" i="3"/>
  <c r="L6" i="3"/>
  <c r="K11" i="3"/>
  <c r="K10" i="3"/>
  <c r="K9" i="3"/>
  <c r="K8" i="3"/>
  <c r="K7" i="3"/>
  <c r="K6" i="3"/>
  <c r="J11" i="3"/>
  <c r="J10" i="3"/>
  <c r="J9" i="3"/>
  <c r="J8" i="3"/>
  <c r="J7" i="3"/>
  <c r="J6" i="3"/>
  <c r="I11" i="3"/>
  <c r="I10" i="3"/>
  <c r="I9" i="3"/>
  <c r="I8" i="3"/>
  <c r="I7" i="3"/>
  <c r="I6" i="3"/>
  <c r="H11" i="3"/>
  <c r="H10" i="3"/>
  <c r="H9" i="3"/>
  <c r="H8" i="3"/>
  <c r="H6" i="3"/>
  <c r="H7" i="3"/>
  <c r="S704" i="2"/>
  <c r="S702" i="2"/>
  <c r="S701" i="2"/>
  <c r="S703" i="2"/>
  <c r="P728" i="2"/>
  <c r="P727" i="2"/>
  <c r="P726" i="2"/>
  <c r="P723" i="2"/>
  <c r="P722" i="2"/>
  <c r="P724" i="2" s="1"/>
  <c r="P721" i="2"/>
  <c r="P718" i="2"/>
  <c r="P717" i="2"/>
  <c r="P716" i="2"/>
  <c r="P712" i="2"/>
  <c r="P714" i="2" s="1"/>
  <c r="P713" i="2"/>
  <c r="P711" i="2"/>
  <c r="P708" i="2"/>
  <c r="P701" i="2"/>
  <c r="P706" i="2"/>
  <c r="P705" i="2"/>
  <c r="P703" i="2"/>
  <c r="P702" i="2"/>
  <c r="L12" i="3" l="1"/>
  <c r="L14" i="3" s="1"/>
  <c r="E6" i="1"/>
  <c r="G7" i="4"/>
  <c r="E2" i="1"/>
  <c r="E10" i="1"/>
  <c r="E5" i="1"/>
  <c r="E4" i="1"/>
  <c r="E3" i="1"/>
  <c r="H7" i="4"/>
  <c r="H6" i="4"/>
  <c r="H5" i="4"/>
  <c r="H4" i="4"/>
  <c r="G5" i="4"/>
  <c r="H2" i="4"/>
  <c r="E9" i="1"/>
  <c r="E8" i="1"/>
  <c r="E7" i="1"/>
  <c r="H3" i="4"/>
  <c r="G2" i="4"/>
  <c r="G3" i="4"/>
  <c r="G4" i="4"/>
  <c r="G6" i="4"/>
  <c r="N12" i="3"/>
  <c r="N14" i="3" s="1"/>
  <c r="K12" i="3"/>
  <c r="K14" i="3" s="1"/>
  <c r="F10" i="1"/>
  <c r="F9" i="1"/>
  <c r="F4" i="1"/>
  <c r="F8" i="1"/>
  <c r="F5" i="1"/>
  <c r="F3" i="1"/>
  <c r="F7" i="1"/>
  <c r="F6" i="1"/>
  <c r="I12" i="3"/>
  <c r="I14" i="3" s="1"/>
  <c r="S705" i="2"/>
  <c r="H12" i="3"/>
  <c r="H14" i="3" s="1"/>
  <c r="P12" i="3"/>
  <c r="P14" i="3" s="1"/>
  <c r="O12" i="3"/>
  <c r="O14" i="3" s="1"/>
  <c r="M12" i="3"/>
  <c r="M14" i="3" s="1"/>
  <c r="J12" i="3"/>
  <c r="J14" i="3" s="1"/>
  <c r="P729" i="2"/>
  <c r="P719" i="2"/>
  <c r="P707" i="2"/>
  <c r="Q1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ustomer_data_removed_duplicates" description="Connection to the 'customer_data_removed_duplicates' query in the workbook." type="5" refreshedVersion="8" background="1" saveData="1">
    <dbPr connection="Provider=Microsoft.Mashup.OleDb.1;Data Source=$Workbook$;Location=customer_data_removed_duplicates;Extended Properties=&quot;&quot;" command="SELECT * FROM [customer_data_removed_duplicat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<sst xmlns="http://schemas.openxmlformats.org/spreadsheetml/2006/main" count="3724" uniqueCount="1359">
  <si>
    <t>user_id</t>
  </si>
  <si>
    <t>country</t>
  </si>
  <si>
    <t>age</t>
  </si>
  <si>
    <t>gender</t>
  </si>
  <si>
    <t>subscription_type</t>
  </si>
  <si>
    <t>avg_listening_hours_per_week</t>
  </si>
  <si>
    <t>total_songs_played</t>
  </si>
  <si>
    <t>skip_rate</t>
  </si>
  <si>
    <t>satisfaction_score</t>
  </si>
  <si>
    <t>churned</t>
  </si>
  <si>
    <t>monthly_fee</t>
  </si>
  <si>
    <t>join_date</t>
  </si>
  <si>
    <t>join_date_UK</t>
  </si>
  <si>
    <t>U1201</t>
  </si>
  <si>
    <t>South Africa</t>
  </si>
  <si>
    <t/>
  </si>
  <si>
    <t>Family</t>
  </si>
  <si>
    <t>08/08/2023</t>
  </si>
  <si>
    <t>U1257</t>
  </si>
  <si>
    <t>India</t>
  </si>
  <si>
    <t>03/30/2024</t>
  </si>
  <si>
    <t>U1558</t>
  </si>
  <si>
    <t>Nigeria</t>
  </si>
  <si>
    <t>Female</t>
  </si>
  <si>
    <t>07/01/2023</t>
  </si>
  <si>
    <t>U1693</t>
  </si>
  <si>
    <t>Ghana</t>
  </si>
  <si>
    <t>09/08/2024</t>
  </si>
  <si>
    <t>U1486</t>
  </si>
  <si>
    <t>Kenya</t>
  </si>
  <si>
    <t>Other</t>
  </si>
  <si>
    <t>14/09/2023</t>
  </si>
  <si>
    <t>U1345</t>
  </si>
  <si>
    <t>Nepal</t>
  </si>
  <si>
    <t>Male</t>
  </si>
  <si>
    <t>28/03/2024</t>
  </si>
  <si>
    <t>U1203</t>
  </si>
  <si>
    <t>12/08/2023</t>
  </si>
  <si>
    <t>U1641</t>
  </si>
  <si>
    <t>United Kingdom</t>
  </si>
  <si>
    <t>08/12/2022</t>
  </si>
  <si>
    <t>U1569</t>
  </si>
  <si>
    <t>16/06/2023</t>
  </si>
  <si>
    <t>U1694</t>
  </si>
  <si>
    <t>USA</t>
  </si>
  <si>
    <t>27/07/2024</t>
  </si>
  <si>
    <t>U1225</t>
  </si>
  <si>
    <t>27/06/2022</t>
  </si>
  <si>
    <t>U1369</t>
  </si>
  <si>
    <t>04/23/2022</t>
  </si>
  <si>
    <t>U1637</t>
  </si>
  <si>
    <t>11/05/2022</t>
  </si>
  <si>
    <t>U1592</t>
  </si>
  <si>
    <t>Free</t>
  </si>
  <si>
    <t>09/10/2022</t>
  </si>
  <si>
    <t>U1548</t>
  </si>
  <si>
    <t>03/20/2024</t>
  </si>
  <si>
    <t>U1272</t>
  </si>
  <si>
    <t>05/26/2022</t>
  </si>
  <si>
    <t>U1026</t>
  </si>
  <si>
    <t>08/04/2024</t>
  </si>
  <si>
    <t>U1636</t>
  </si>
  <si>
    <t>07/07/2024</t>
  </si>
  <si>
    <t>U1552</t>
  </si>
  <si>
    <t>12/30/2022</t>
  </si>
  <si>
    <t>U1155</t>
  </si>
  <si>
    <t>Premium</t>
  </si>
  <si>
    <t>07/03/2024</t>
  </si>
  <si>
    <t>U1657</t>
  </si>
  <si>
    <t>28/07/2022</t>
  </si>
  <si>
    <t>U1436</t>
  </si>
  <si>
    <t>14/05/2024</t>
  </si>
  <si>
    <t>U1309</t>
  </si>
  <si>
    <t>Brazil</t>
  </si>
  <si>
    <t>09/04/2023</t>
  </si>
  <si>
    <t>U1215</t>
  </si>
  <si>
    <t>27/08/2024</t>
  </si>
  <si>
    <t>U1600</t>
  </si>
  <si>
    <t>02/07/2024</t>
  </si>
  <si>
    <t>U1141</t>
  </si>
  <si>
    <t>31/05/2023</t>
  </si>
  <si>
    <t>U1000</t>
  </si>
  <si>
    <t>25/02/2023</t>
  </si>
  <si>
    <t>U1085</t>
  </si>
  <si>
    <t>10/07/2023</t>
  </si>
  <si>
    <t>U1661</t>
  </si>
  <si>
    <t>24/05/2024</t>
  </si>
  <si>
    <t>U1042</t>
  </si>
  <si>
    <t>05/06/2023</t>
  </si>
  <si>
    <t>U1579</t>
  </si>
  <si>
    <t>23/05/2022</t>
  </si>
  <si>
    <t>U1075</t>
  </si>
  <si>
    <t>08/03/2022</t>
  </si>
  <si>
    <t>U1439</t>
  </si>
  <si>
    <t>Student</t>
  </si>
  <si>
    <t>16/11/2022</t>
  </si>
  <si>
    <t>U1076</t>
  </si>
  <si>
    <t>15/02/2023</t>
  </si>
  <si>
    <t>U1499</t>
  </si>
  <si>
    <t>05/30/2024</t>
  </si>
  <si>
    <t>U1521</t>
  </si>
  <si>
    <t>09/03/2023</t>
  </si>
  <si>
    <t>U1344</t>
  </si>
  <si>
    <t>15/06/2024</t>
  </si>
  <si>
    <t>U1622</t>
  </si>
  <si>
    <t>U1475</t>
  </si>
  <si>
    <t>03/12/2024</t>
  </si>
  <si>
    <t>U1678</t>
  </si>
  <si>
    <t>01/04/2022</t>
  </si>
  <si>
    <t>U1400</t>
  </si>
  <si>
    <t>01/06/2022</t>
  </si>
  <si>
    <t>U1167</t>
  </si>
  <si>
    <t>20/10/2023</t>
  </si>
  <si>
    <t>U1586</t>
  </si>
  <si>
    <t>03/19/2022</t>
  </si>
  <si>
    <t>U1515</t>
  </si>
  <si>
    <t>09/14/2022</t>
  </si>
  <si>
    <t>U1527</t>
  </si>
  <si>
    <t>18/06/2022</t>
  </si>
  <si>
    <t>U1288</t>
  </si>
  <si>
    <t>29/01/2023</t>
  </si>
  <si>
    <t>U1002</t>
  </si>
  <si>
    <t>07/10/2024</t>
  </si>
  <si>
    <t>U1036</t>
  </si>
  <si>
    <t>14/03/2022</t>
  </si>
  <si>
    <t>U1126</t>
  </si>
  <si>
    <t>22/05/2023</t>
  </si>
  <si>
    <t>U1666</t>
  </si>
  <si>
    <t>10/12/2022</t>
  </si>
  <si>
    <t>U1528</t>
  </si>
  <si>
    <t>03/11/2022</t>
  </si>
  <si>
    <t>U1407</t>
  </si>
  <si>
    <t>11/06/2022</t>
  </si>
  <si>
    <t>U1396</t>
  </si>
  <si>
    <t>07/02/2024</t>
  </si>
  <si>
    <t>U1011</t>
  </si>
  <si>
    <t>10/02/2023</t>
  </si>
  <si>
    <t>U1498</t>
  </si>
  <si>
    <t>02/10/2023</t>
  </si>
  <si>
    <t>U1322</t>
  </si>
  <si>
    <t>04/25/2023</t>
  </si>
  <si>
    <t>U1186</t>
  </si>
  <si>
    <t>21/08/2024</t>
  </si>
  <si>
    <t>U1047</t>
  </si>
  <si>
    <t>02/01/2024</t>
  </si>
  <si>
    <t>U1460</t>
  </si>
  <si>
    <t>08/16/2023</t>
  </si>
  <si>
    <t>U1559</t>
  </si>
  <si>
    <t>16/12/2022</t>
  </si>
  <si>
    <t>U1135</t>
  </si>
  <si>
    <t>13/03/2022</t>
  </si>
  <si>
    <t>U1574</t>
  </si>
  <si>
    <t>09/17/2023</t>
  </si>
  <si>
    <t>U1668</t>
  </si>
  <si>
    <t>06/01/2022</t>
  </si>
  <si>
    <t>U1648</t>
  </si>
  <si>
    <t>02/03/2024</t>
  </si>
  <si>
    <t>U1304</t>
  </si>
  <si>
    <t>10/06/2024</t>
  </si>
  <si>
    <t>U1649</t>
  </si>
  <si>
    <t>09/09/2023</t>
  </si>
  <si>
    <t>U1027</t>
  </si>
  <si>
    <t>08/30/2023</t>
  </si>
  <si>
    <t>U1534</t>
  </si>
  <si>
    <t>25/11/2022</t>
  </si>
  <si>
    <t>U1342</t>
  </si>
  <si>
    <t>12/24/2022</t>
  </si>
  <si>
    <t>U1097</t>
  </si>
  <si>
    <t>09/22/2023</t>
  </si>
  <si>
    <t>U1308</t>
  </si>
  <si>
    <t>U1408</t>
  </si>
  <si>
    <t>04/12/2024</t>
  </si>
  <si>
    <t>U1679</t>
  </si>
  <si>
    <t>06/06/2022</t>
  </si>
  <si>
    <t>U1005</t>
  </si>
  <si>
    <t>21/10/2023</t>
  </si>
  <si>
    <t>U1262</t>
  </si>
  <si>
    <t>U1367</t>
  </si>
  <si>
    <t>24/10/2023</t>
  </si>
  <si>
    <t>U1229</t>
  </si>
  <si>
    <t>04/08/2022</t>
  </si>
  <si>
    <t>U1454</t>
  </si>
  <si>
    <t>09/09/2022</t>
  </si>
  <si>
    <t>U1523</t>
  </si>
  <si>
    <t>16/01/2022</t>
  </si>
  <si>
    <t>U1041</t>
  </si>
  <si>
    <t>24/11/2023</t>
  </si>
  <si>
    <t>U1432</t>
  </si>
  <si>
    <t>11/12/2022</t>
  </si>
  <si>
    <t>U1577</t>
  </si>
  <si>
    <t>29/01/2022</t>
  </si>
  <si>
    <t>U1561</t>
  </si>
  <si>
    <t>05/18/2023</t>
  </si>
  <si>
    <t>U1357</t>
  </si>
  <si>
    <t>24/12/2022</t>
  </si>
  <si>
    <t>U1251</t>
  </si>
  <si>
    <t>22/03/2022</t>
  </si>
  <si>
    <t>U1567</t>
  </si>
  <si>
    <t>15/12/2022</t>
  </si>
  <si>
    <t>U1078</t>
  </si>
  <si>
    <t>28/07/2023</t>
  </si>
  <si>
    <t>U1372</t>
  </si>
  <si>
    <t>30/10/2023</t>
  </si>
  <si>
    <t>U1470</t>
  </si>
  <si>
    <t>01/02/2024</t>
  </si>
  <si>
    <t>U1412</t>
  </si>
  <si>
    <t>10/24/2022</t>
  </si>
  <si>
    <t>U1240</t>
  </si>
  <si>
    <t>13/10/2022</t>
  </si>
  <si>
    <t>U1130</t>
  </si>
  <si>
    <t>06/13/2024</t>
  </si>
  <si>
    <t>U1536</t>
  </si>
  <si>
    <t>06/22/2023</t>
  </si>
  <si>
    <t>U1315</t>
  </si>
  <si>
    <t>15/12/2023</t>
  </si>
  <si>
    <t>U1581</t>
  </si>
  <si>
    <t>06/01/2023</t>
  </si>
  <si>
    <t>U1123</t>
  </si>
  <si>
    <t>04/19/2023</t>
  </si>
  <si>
    <t>U1334</t>
  </si>
  <si>
    <t>U1631</t>
  </si>
  <si>
    <t>05/05/2022</t>
  </si>
  <si>
    <t>U1159</t>
  </si>
  <si>
    <t>01/31/2023</t>
  </si>
  <si>
    <t>U1329</t>
  </si>
  <si>
    <t>15/05/2023</t>
  </si>
  <si>
    <t>U1300</t>
  </si>
  <si>
    <t>11/29/2023</t>
  </si>
  <si>
    <t>U1473</t>
  </si>
  <si>
    <t>16/10/2022</t>
  </si>
  <si>
    <t>U1214</t>
  </si>
  <si>
    <t>17/01/2022</t>
  </si>
  <si>
    <t>U1325</t>
  </si>
  <si>
    <t>07/29/2023</t>
  </si>
  <si>
    <t>U1070</t>
  </si>
  <si>
    <t>01/08/2024</t>
  </si>
  <si>
    <t>U1488</t>
  </si>
  <si>
    <t>23/03/2023</t>
  </si>
  <si>
    <t>U1618</t>
  </si>
  <si>
    <t>09/24/2022</t>
  </si>
  <si>
    <t>U1368</t>
  </si>
  <si>
    <t>U1673</t>
  </si>
  <si>
    <t>05/21/2024</t>
  </si>
  <si>
    <t>U1213</t>
  </si>
  <si>
    <t>23/04/2023</t>
  </si>
  <si>
    <t>U1133</t>
  </si>
  <si>
    <t>05/08/2023</t>
  </si>
  <si>
    <t>U1015</t>
  </si>
  <si>
    <t>20/05/2023</t>
  </si>
  <si>
    <t>U1522</t>
  </si>
  <si>
    <t>11/24/2023</t>
  </si>
  <si>
    <t>U1073</t>
  </si>
  <si>
    <t>U1326</t>
  </si>
  <si>
    <t>06/04/2023</t>
  </si>
  <si>
    <t>U1491</t>
  </si>
  <si>
    <t>23/06/2023</t>
  </si>
  <si>
    <t>U1697</t>
  </si>
  <si>
    <t>U1068</t>
  </si>
  <si>
    <t>11/19/2023</t>
  </si>
  <si>
    <t>U1137</t>
  </si>
  <si>
    <t>04/21/2024</t>
  </si>
  <si>
    <t>U1553</t>
  </si>
  <si>
    <t>06/28/2022</t>
  </si>
  <si>
    <t>17/08/2022</t>
  </si>
  <si>
    <t>U1118</t>
  </si>
  <si>
    <t>04/02/2022</t>
  </si>
  <si>
    <t>U1635</t>
  </si>
  <si>
    <t>U1687</t>
  </si>
  <si>
    <t>10/11/2023</t>
  </si>
  <si>
    <t>U1446</t>
  </si>
  <si>
    <t>05/11/2023</t>
  </si>
  <si>
    <t>U1054</t>
  </si>
  <si>
    <t>30/12/2023</t>
  </si>
  <si>
    <t>U1277</t>
  </si>
  <si>
    <t>07/09/2023</t>
  </si>
  <si>
    <t>U1495</t>
  </si>
  <si>
    <t>01/01/2024</t>
  </si>
  <si>
    <t>U1148</t>
  </si>
  <si>
    <t>28/04/2023</t>
  </si>
  <si>
    <t>U1025</t>
  </si>
  <si>
    <t>16/11/2023</t>
  </si>
  <si>
    <t>U1562</t>
  </si>
  <si>
    <t>U1220</t>
  </si>
  <si>
    <t>27/03/2024</t>
  </si>
  <si>
    <t>U1391</t>
  </si>
  <si>
    <t>07/04/2022</t>
  </si>
  <si>
    <t>U1212</t>
  </si>
  <si>
    <t>06/30/2024</t>
  </si>
  <si>
    <t>U1264</t>
  </si>
  <si>
    <t>05/10/2022</t>
  </si>
  <si>
    <t>U1142</t>
  </si>
  <si>
    <t>02/10/2022</t>
  </si>
  <si>
    <t>U1013</t>
  </si>
  <si>
    <t>20/06/2023</t>
  </si>
  <si>
    <t>U1376</t>
  </si>
  <si>
    <t>05/02/2022</t>
  </si>
  <si>
    <t>U1671</t>
  </si>
  <si>
    <t>07/16/2022</t>
  </si>
  <si>
    <t>U1684</t>
  </si>
  <si>
    <t>10/03/2022</t>
  </si>
  <si>
    <t>U1108</t>
  </si>
  <si>
    <t>U1401</t>
  </si>
  <si>
    <t>U1245</t>
  </si>
  <si>
    <t>11/02/2022</t>
  </si>
  <si>
    <t>U1038</t>
  </si>
  <si>
    <t>02/21/2023</t>
  </si>
  <si>
    <t>U1444</t>
  </si>
  <si>
    <t>28/03/2023</t>
  </si>
  <si>
    <t>U1511</t>
  </si>
  <si>
    <t>19/12/2023</t>
  </si>
  <si>
    <t>U1062</t>
  </si>
  <si>
    <t>01/31/2024</t>
  </si>
  <si>
    <t>U1417</t>
  </si>
  <si>
    <t>15/01/2022</t>
  </si>
  <si>
    <t>U1429</t>
  </si>
  <si>
    <t>08/01/2024</t>
  </si>
  <si>
    <t>U1016</t>
  </si>
  <si>
    <t>02/23/2023</t>
  </si>
  <si>
    <t>U1128</t>
  </si>
  <si>
    <t>10/06/2022</t>
  </si>
  <si>
    <t>U1045</t>
  </si>
  <si>
    <t>08/02/2023</t>
  </si>
  <si>
    <t>U1014</t>
  </si>
  <si>
    <t>30/06/2024</t>
  </si>
  <si>
    <t>U1084</t>
  </si>
  <si>
    <t>24/04/2023</t>
  </si>
  <si>
    <t>U1596</t>
  </si>
  <si>
    <t>31/01/2022</t>
  </si>
  <si>
    <t>U1394</t>
  </si>
  <si>
    <t>02/12/2024</t>
  </si>
  <si>
    <t>U1386</t>
  </si>
  <si>
    <t>01/22/2024</t>
  </si>
  <si>
    <t>U1090</t>
  </si>
  <si>
    <t>06/24/2023</t>
  </si>
  <si>
    <t>U1625</t>
  </si>
  <si>
    <t>16/03/2024</t>
  </si>
  <si>
    <t>U1149</t>
  </si>
  <si>
    <t>06/29/2024</t>
  </si>
  <si>
    <t>U1696</t>
  </si>
  <si>
    <t>U1287</t>
  </si>
  <si>
    <t>27/03/2022</t>
  </si>
  <si>
    <t>U1505</t>
  </si>
  <si>
    <t>04/18/2023</t>
  </si>
  <si>
    <t>U1193</t>
  </si>
  <si>
    <t>04/29/2022</t>
  </si>
  <si>
    <t>U1035</t>
  </si>
  <si>
    <t>09/26/2022</t>
  </si>
  <si>
    <t>U1115</t>
  </si>
  <si>
    <t>25/06/2023</t>
  </si>
  <si>
    <t>U1453</t>
  </si>
  <si>
    <t>12/15/2022</t>
  </si>
  <si>
    <t>U1457</t>
  </si>
  <si>
    <t>07/03/2023</t>
  </si>
  <si>
    <t>U1196</t>
  </si>
  <si>
    <t>01/03/2022</t>
  </si>
  <si>
    <t>U1200</t>
  </si>
  <si>
    <t>U1107</t>
  </si>
  <si>
    <t>02/03/2023</t>
  </si>
  <si>
    <t>U1231</t>
  </si>
  <si>
    <t>17/05/2024</t>
  </si>
  <si>
    <t>U1316</t>
  </si>
  <si>
    <t>02/20/2023</t>
  </si>
  <si>
    <t>U1362</t>
  </si>
  <si>
    <t>06/05/2022</t>
  </si>
  <si>
    <t>U1615</t>
  </si>
  <si>
    <t>07/09/2022</t>
  </si>
  <si>
    <t>U1119</t>
  </si>
  <si>
    <t>29/11/2023</t>
  </si>
  <si>
    <t>U1319</t>
  </si>
  <si>
    <t>20/09/2022</t>
  </si>
  <si>
    <t>U1676</t>
  </si>
  <si>
    <t>01/11/2023</t>
  </si>
  <si>
    <t>U1591</t>
  </si>
  <si>
    <t>12/08/2024</t>
  </si>
  <si>
    <t>U1211</t>
  </si>
  <si>
    <t>17/08/2024</t>
  </si>
  <si>
    <t>U1690</t>
  </si>
  <si>
    <t>24/12/2023</t>
  </si>
  <si>
    <t>U1060</t>
  </si>
  <si>
    <t>14/04/2023</t>
  </si>
  <si>
    <t>U1131</t>
  </si>
  <si>
    <t>U1463</t>
  </si>
  <si>
    <t>12/30/2023</t>
  </si>
  <si>
    <t>U1312</t>
  </si>
  <si>
    <t>U1638</t>
  </si>
  <si>
    <t>08/19/2022</t>
  </si>
  <si>
    <t>U1510</t>
  </si>
  <si>
    <t>15/06/2023</t>
  </si>
  <si>
    <t>U1403</t>
  </si>
  <si>
    <t>03/21/2024</t>
  </si>
  <si>
    <t>07/25/2023</t>
  </si>
  <si>
    <t>U1506</t>
  </si>
  <si>
    <t>21/10/2022</t>
  </si>
  <si>
    <t>U1604</t>
  </si>
  <si>
    <t>11/23/2023</t>
  </si>
  <si>
    <t>U1526</t>
  </si>
  <si>
    <t>31/01/2023</t>
  </si>
  <si>
    <t>U1328</t>
  </si>
  <si>
    <t>12/12/2022</t>
  </si>
  <si>
    <t>U1250</t>
  </si>
  <si>
    <t>U1091</t>
  </si>
  <si>
    <t>03/01/2022</t>
  </si>
  <si>
    <t>U1677</t>
  </si>
  <si>
    <t>05/04/2024</t>
  </si>
  <si>
    <t>U1243</t>
  </si>
  <si>
    <t>09/23/2023</t>
  </si>
  <si>
    <t>U1324</t>
  </si>
  <si>
    <t>04/24/2023</t>
  </si>
  <si>
    <t>U1079</t>
  </si>
  <si>
    <t>04/10/2023</t>
  </si>
  <si>
    <t>U1686</t>
  </si>
  <si>
    <t>U1102</t>
  </si>
  <si>
    <t>03/29/2023</t>
  </si>
  <si>
    <t>U1162</t>
  </si>
  <si>
    <t>11/05/2023</t>
  </si>
  <si>
    <t>U1140</t>
  </si>
  <si>
    <t>05/01/2024</t>
  </si>
  <si>
    <t>U1680</t>
  </si>
  <si>
    <t>07/31/2023</t>
  </si>
  <si>
    <t>U1007</t>
  </si>
  <si>
    <t>27/05/2023</t>
  </si>
  <si>
    <t>05/02/2024</t>
  </si>
  <si>
    <t>U1402</t>
  </si>
  <si>
    <t>03/13/2024</t>
  </si>
  <si>
    <t>U1249</t>
  </si>
  <si>
    <t>07/31/2022</t>
  </si>
  <si>
    <t>U1033</t>
  </si>
  <si>
    <t>31/01/2024</t>
  </si>
  <si>
    <t>U1269</t>
  </si>
  <si>
    <t>05/11/2022</t>
  </si>
  <si>
    <t>U1106</t>
  </si>
  <si>
    <t>22/04/2022</t>
  </si>
  <si>
    <t>U1340</t>
  </si>
  <si>
    <t>13/12/2022</t>
  </si>
  <si>
    <t>U1216</t>
  </si>
  <si>
    <t>07/08/2024</t>
  </si>
  <si>
    <t>U1530</t>
  </si>
  <si>
    <t>14/06/2023</t>
  </si>
  <si>
    <t>U1082</t>
  </si>
  <si>
    <t>04/18/2024</t>
  </si>
  <si>
    <t>U1399</t>
  </si>
  <si>
    <t>15/05/2024</t>
  </si>
  <si>
    <t>U1031</t>
  </si>
  <si>
    <t>16/07/2024</t>
  </si>
  <si>
    <t>U1318</t>
  </si>
  <si>
    <t>07/15/2023</t>
  </si>
  <si>
    <t>U1655</t>
  </si>
  <si>
    <t>26/06/2022</t>
  </si>
  <si>
    <t>U1662</t>
  </si>
  <si>
    <t>05/13/2022</t>
  </si>
  <si>
    <t>U1384</t>
  </si>
  <si>
    <t>21/01/2024</t>
  </si>
  <si>
    <t>U1285</t>
  </si>
  <si>
    <t>U1614</t>
  </si>
  <si>
    <t>U1458</t>
  </si>
  <si>
    <t>29/03/2024</t>
  </si>
  <si>
    <t>U1289</t>
  </si>
  <si>
    <t>19/06/2024</t>
  </si>
  <si>
    <t>U1493</t>
  </si>
  <si>
    <t>U1064</t>
  </si>
  <si>
    <t>U1109</t>
  </si>
  <si>
    <t>U1434</t>
  </si>
  <si>
    <t>11/26/2022</t>
  </si>
  <si>
    <t>U1582</t>
  </si>
  <si>
    <t>12/08/2022</t>
  </si>
  <si>
    <t>U1152</t>
  </si>
  <si>
    <t>07/11/2022</t>
  </si>
  <si>
    <t>U1563</t>
  </si>
  <si>
    <t>17/12/2022</t>
  </si>
  <si>
    <t>U1643</t>
  </si>
  <si>
    <t>07/21/2024</t>
  </si>
  <si>
    <t>U1101</t>
  </si>
  <si>
    <t>U1313</t>
  </si>
  <si>
    <t>U1425</t>
  </si>
  <si>
    <t>04/28/2022</t>
  </si>
  <si>
    <t>U1099</t>
  </si>
  <si>
    <t>11/24/2022</t>
  </si>
  <si>
    <t>U1602</t>
  </si>
  <si>
    <t>24/01/2024</t>
  </si>
  <si>
    <t>U1699</t>
  </si>
  <si>
    <t>09/19/2022</t>
  </si>
  <si>
    <t>U1012</t>
  </si>
  <si>
    <t>U1477</t>
  </si>
  <si>
    <t>11/11/2022</t>
  </si>
  <si>
    <t>U1170</t>
  </si>
  <si>
    <t>27/04/2024</t>
  </si>
  <si>
    <t>U1129</t>
  </si>
  <si>
    <t>09/01/2022</t>
  </si>
  <si>
    <t>U1545</t>
  </si>
  <si>
    <t>04/14/2022</t>
  </si>
  <si>
    <t>U1639</t>
  </si>
  <si>
    <t>11/09/2022</t>
  </si>
  <si>
    <t>U1492</t>
  </si>
  <si>
    <t>13/07/2024</t>
  </si>
  <si>
    <t>U1594</t>
  </si>
  <si>
    <t>10/27/2022</t>
  </si>
  <si>
    <t>U1698</t>
  </si>
  <si>
    <t>05/12/2022</t>
  </si>
  <si>
    <t>U1525</t>
  </si>
  <si>
    <t>04/10/2022</t>
  </si>
  <si>
    <t>U1692</t>
  </si>
  <si>
    <t>11/22/2023</t>
  </si>
  <si>
    <t>U1166</t>
  </si>
  <si>
    <t>22/04/2023</t>
  </si>
  <si>
    <t>U1199</t>
  </si>
  <si>
    <t>26/06/2023</t>
  </si>
  <si>
    <t>U1398</t>
  </si>
  <si>
    <t>03/16/2023</t>
  </si>
  <si>
    <t>U1516</t>
  </si>
  <si>
    <t>09/27/2022</t>
  </si>
  <si>
    <t>U1468</t>
  </si>
  <si>
    <t>12/18/2023</t>
  </si>
  <si>
    <t>U1058</t>
  </si>
  <si>
    <t>12/01/2023</t>
  </si>
  <si>
    <t>U1656</t>
  </si>
  <si>
    <t>02/06/2023</t>
  </si>
  <si>
    <t>U1519</t>
  </si>
  <si>
    <t>30/06/2023</t>
  </si>
  <si>
    <t>U1451</t>
  </si>
  <si>
    <t>U1456</t>
  </si>
  <si>
    <t>07/14/2024</t>
  </si>
  <si>
    <t>U1339</t>
  </si>
  <si>
    <t>07/30/2022</t>
  </si>
  <si>
    <t>U1270</t>
  </si>
  <si>
    <t>03/04/2023</t>
  </si>
  <si>
    <t>U1136</t>
  </si>
  <si>
    <t>U1238</t>
  </si>
  <si>
    <t>08/15/2022</t>
  </si>
  <si>
    <t>U1681</t>
  </si>
  <si>
    <t>20/07/2023</t>
  </si>
  <si>
    <t>U1616</t>
  </si>
  <si>
    <t>03/20/2022</t>
  </si>
  <si>
    <t>U1247</t>
  </si>
  <si>
    <t>U1335</t>
  </si>
  <si>
    <t>23/08/2022</t>
  </si>
  <si>
    <t>U1539</t>
  </si>
  <si>
    <t>11/08/2022</t>
  </si>
  <si>
    <t>U1176</t>
  </si>
  <si>
    <t>02/05/2023</t>
  </si>
  <si>
    <t>U1169</t>
  </si>
  <si>
    <t>25/01/2022</t>
  </si>
  <si>
    <t>U1282</t>
  </si>
  <si>
    <t>07/02/2023</t>
  </si>
  <si>
    <t>U1621</t>
  </si>
  <si>
    <t>23/05/2023</t>
  </si>
  <si>
    <t>U1455</t>
  </si>
  <si>
    <t>08/22/2022</t>
  </si>
  <si>
    <t>U1332</t>
  </si>
  <si>
    <t>03/18/2023</t>
  </si>
  <si>
    <t>U1330</t>
  </si>
  <si>
    <t>U1683</t>
  </si>
  <si>
    <t>11/18/2023</t>
  </si>
  <si>
    <t>U1485</t>
  </si>
  <si>
    <t>U1086</t>
  </si>
  <si>
    <t>04/13/2023</t>
  </si>
  <si>
    <t>U1500</t>
  </si>
  <si>
    <t>U1588</t>
  </si>
  <si>
    <t>U1298</t>
  </si>
  <si>
    <t>30/01/2022</t>
  </si>
  <si>
    <t>U1509</t>
  </si>
  <si>
    <t>28/10/2022</t>
  </si>
  <si>
    <t>U1281</t>
  </si>
  <si>
    <t>01/09/2023</t>
  </si>
  <si>
    <t>U1314</t>
  </si>
  <si>
    <t>08/12/2023</t>
  </si>
  <si>
    <t>U1266</t>
  </si>
  <si>
    <t>05/27/2022</t>
  </si>
  <si>
    <t>U1385</t>
  </si>
  <si>
    <t>U1583</t>
  </si>
  <si>
    <t>05/07/2022</t>
  </si>
  <si>
    <t>U1507</t>
  </si>
  <si>
    <t>07/04/2023</t>
  </si>
  <si>
    <t>U1370</t>
  </si>
  <si>
    <t>30/12/2022</t>
  </si>
  <si>
    <t>U1533</t>
  </si>
  <si>
    <t>23/03/2024</t>
  </si>
  <si>
    <t>U1244</t>
  </si>
  <si>
    <t>07/12/2022</t>
  </si>
  <si>
    <t>U1261</t>
  </si>
  <si>
    <t>15/11/2023</t>
  </si>
  <si>
    <t>U1413</t>
  </si>
  <si>
    <t>20/09/2023</t>
  </si>
  <si>
    <t>U1307</t>
  </si>
  <si>
    <t>U1320</t>
  </si>
  <si>
    <t>19/08/2024</t>
  </si>
  <si>
    <t>U1632</t>
  </si>
  <si>
    <t>06/04/2022</t>
  </si>
  <si>
    <t>U1566</t>
  </si>
  <si>
    <t>02/23/2022</t>
  </si>
  <si>
    <t>U1055</t>
  </si>
  <si>
    <t>12/02/2022</t>
  </si>
  <si>
    <t>U1361</t>
  </si>
  <si>
    <t>09/21/2022</t>
  </si>
  <si>
    <t>U1571</t>
  </si>
  <si>
    <t>01/22/2022</t>
  </si>
  <si>
    <t>U1390</t>
  </si>
  <si>
    <t>08/05/2022</t>
  </si>
  <si>
    <t>U1205</t>
  </si>
  <si>
    <t>05/01/2022</t>
  </si>
  <si>
    <t>U1580</t>
  </si>
  <si>
    <t>U1048</t>
  </si>
  <si>
    <t>26/05/2024</t>
  </si>
  <si>
    <t>U1609</t>
  </si>
  <si>
    <t>03/28/2022</t>
  </si>
  <si>
    <t>U1161</t>
  </si>
  <si>
    <t>U1555</t>
  </si>
  <si>
    <t>03/05/2024</t>
  </si>
  <si>
    <t>U1236</t>
  </si>
  <si>
    <t>06/05/2024</t>
  </si>
  <si>
    <t>U1063</t>
  </si>
  <si>
    <t>04/12/2023</t>
  </si>
  <si>
    <t>U1352</t>
  </si>
  <si>
    <t>10/20/2022</t>
  </si>
  <si>
    <t>U1009</t>
  </si>
  <si>
    <t>17/07/2022</t>
  </si>
  <si>
    <t>U1059</t>
  </si>
  <si>
    <t>04/23/2024</t>
  </si>
  <si>
    <t>U1659</t>
  </si>
  <si>
    <t>25/04/2022</t>
  </si>
  <si>
    <t>U1154</t>
  </si>
  <si>
    <t>09/03/2022</t>
  </si>
  <si>
    <t>U1072</t>
  </si>
  <si>
    <t>12/18/2022</t>
  </si>
  <si>
    <t>U1502</t>
  </si>
  <si>
    <t>03/03/2024</t>
  </si>
  <si>
    <t>U1252</t>
  </si>
  <si>
    <t>05/20/2022</t>
  </si>
  <si>
    <t>U1556</t>
  </si>
  <si>
    <t>09/03/2024</t>
  </si>
  <si>
    <t>U1651</t>
  </si>
  <si>
    <t>01/09/2022</t>
  </si>
  <si>
    <t>U1168</t>
  </si>
  <si>
    <t>11/27/2023</t>
  </si>
  <si>
    <t>U1080</t>
  </si>
  <si>
    <t>04/25/2022</t>
  </si>
  <si>
    <t>U1189</t>
  </si>
  <si>
    <t>18/12/2023</t>
  </si>
  <si>
    <t>U1030</t>
  </si>
  <si>
    <t>04/01/2023</t>
  </si>
  <si>
    <t>U1366</t>
  </si>
  <si>
    <t>19/04/2024</t>
  </si>
  <si>
    <t>U1599</t>
  </si>
  <si>
    <t>12/10/2022</t>
  </si>
  <si>
    <t>U1483</t>
  </si>
  <si>
    <t>17/05/2023</t>
  </si>
  <si>
    <t>U1178</t>
  </si>
  <si>
    <t>16/10/2023</t>
  </si>
  <si>
    <t>U1028</t>
  </si>
  <si>
    <t>10/30/2023</t>
  </si>
  <si>
    <t>U1630</t>
  </si>
  <si>
    <t>11/10/2023</t>
  </si>
  <si>
    <t>U1195</t>
  </si>
  <si>
    <t>02/09/2022</t>
  </si>
  <si>
    <t>U1338</t>
  </si>
  <si>
    <t>23/11/2022</t>
  </si>
  <si>
    <t>U1187</t>
  </si>
  <si>
    <t>10/01/2022</t>
  </si>
  <si>
    <t>U1474</t>
  </si>
  <si>
    <t>04/05/2022</t>
  </si>
  <si>
    <t>U1447</t>
  </si>
  <si>
    <t>10/13/2022</t>
  </si>
  <si>
    <t>U1568</t>
  </si>
  <si>
    <t>18/04/2024</t>
  </si>
  <si>
    <t>U1605</t>
  </si>
  <si>
    <t>15/01/2023</t>
  </si>
  <si>
    <t>U1422</t>
  </si>
  <si>
    <t>07/18/2023</t>
  </si>
  <si>
    <t>U1442</t>
  </si>
  <si>
    <t>13/11/2022</t>
  </si>
  <si>
    <t>U1501</t>
  </si>
  <si>
    <t>02/01/2023</t>
  </si>
  <si>
    <t>U1550</t>
  </si>
  <si>
    <t>02/01/2022</t>
  </si>
  <si>
    <t>U1056</t>
  </si>
  <si>
    <t>03/26/2023</t>
  </si>
  <si>
    <t>U1235</t>
  </si>
  <si>
    <t>31/08/2024</t>
  </si>
  <si>
    <t>U1341</t>
  </si>
  <si>
    <t>04/01/2022</t>
  </si>
  <si>
    <t>U1121</t>
  </si>
  <si>
    <t>18/01/2022</t>
  </si>
  <si>
    <t>U1265</t>
  </si>
  <si>
    <t>11/02/2023</t>
  </si>
  <si>
    <t>U1650</t>
  </si>
  <si>
    <t>07/02/2022</t>
  </si>
  <si>
    <t>U1024</t>
  </si>
  <si>
    <t>05/15/2022</t>
  </si>
  <si>
    <t>U1557</t>
  </si>
  <si>
    <t>21/05/2023</t>
  </si>
  <si>
    <t>U1292</t>
  </si>
  <si>
    <t>28/07/2024</t>
  </si>
  <si>
    <t>U1069</t>
  </si>
  <si>
    <t>U1023</t>
  </si>
  <si>
    <t>U1397</t>
  </si>
  <si>
    <t>U1587</t>
  </si>
  <si>
    <t>25/06/2022</t>
  </si>
  <si>
    <t>U1405</t>
  </si>
  <si>
    <t>U1642</t>
  </si>
  <si>
    <t>U1301</t>
  </si>
  <si>
    <t>U1469</t>
  </si>
  <si>
    <t>15/04/2022</t>
  </si>
  <si>
    <t>U1256</t>
  </si>
  <si>
    <t>06/10/2023</t>
  </si>
  <si>
    <t>U1433</t>
  </si>
  <si>
    <t>U1590</t>
  </si>
  <si>
    <t>12/09/2023</t>
  </si>
  <si>
    <t>U1551</t>
  </si>
  <si>
    <t>U1077</t>
  </si>
  <si>
    <t>U1132</t>
  </si>
  <si>
    <t>U1617</t>
  </si>
  <si>
    <t>U1057</t>
  </si>
  <si>
    <t>06/06/2024</t>
  </si>
  <si>
    <t>U1351</t>
  </si>
  <si>
    <t>07/18/2022</t>
  </si>
  <si>
    <t>U1297</t>
  </si>
  <si>
    <t>U1185</t>
  </si>
  <si>
    <t>08/10/2023</t>
  </si>
  <si>
    <t>U1207</t>
  </si>
  <si>
    <t>13/11/2023</t>
  </si>
  <si>
    <t>U1490</t>
  </si>
  <si>
    <t>01/12/2022</t>
  </si>
  <si>
    <t>U1355</t>
  </si>
  <si>
    <t>02/04/2022</t>
  </si>
  <si>
    <t>U1113</t>
  </si>
  <si>
    <t>11/01/2024</t>
  </si>
  <si>
    <t>U1151</t>
  </si>
  <si>
    <t>25/03/2022</t>
  </si>
  <si>
    <t>U1646</t>
  </si>
  <si>
    <t>18/10/2022</t>
  </si>
  <si>
    <t>U1098</t>
  </si>
  <si>
    <t>12/26/2023</t>
  </si>
  <si>
    <t>U1565</t>
  </si>
  <si>
    <t>07/01/2024</t>
  </si>
  <si>
    <t>U1088</t>
  </si>
  <si>
    <t>U1685</t>
  </si>
  <si>
    <t>29/04/2023</t>
  </si>
  <si>
    <t>U1654</t>
  </si>
  <si>
    <t>19/02/2024</t>
  </si>
  <si>
    <t>U1549</t>
  </si>
  <si>
    <t>24/11/2022</t>
  </si>
  <si>
    <t>U1074</t>
  </si>
  <si>
    <t>28/05/2022</t>
  </si>
  <si>
    <t>U1147</t>
  </si>
  <si>
    <t>13/02/2023</t>
  </si>
  <si>
    <t>U1116</t>
  </si>
  <si>
    <t>23/01/2022</t>
  </si>
  <si>
    <t>U1597</t>
  </si>
  <si>
    <t>08/05/2023</t>
  </si>
  <si>
    <t>U1019</t>
  </si>
  <si>
    <t>U1653</t>
  </si>
  <si>
    <t>07/21/2022</t>
  </si>
  <si>
    <t>U1227</t>
  </si>
  <si>
    <t>U1310</t>
  </si>
  <si>
    <t>07/23/2023</t>
  </si>
  <si>
    <t>U1514</t>
  </si>
  <si>
    <t>U1232</t>
  </si>
  <si>
    <t>03/15/2024</t>
  </si>
  <si>
    <t>U1358</t>
  </si>
  <si>
    <t>09/30/2022</t>
  </si>
  <si>
    <t>U1409</t>
  </si>
  <si>
    <t>U1333</t>
  </si>
  <si>
    <t>09/06/2023</t>
  </si>
  <si>
    <t>U1160</t>
  </si>
  <si>
    <t>U1691</t>
  </si>
  <si>
    <t>U1209</t>
  </si>
  <si>
    <t>03/16/2022</t>
  </si>
  <si>
    <t>U1449</t>
  </si>
  <si>
    <t>U1466</t>
  </si>
  <si>
    <t>U1564</t>
  </si>
  <si>
    <t>07/13/2024</t>
  </si>
  <si>
    <t>U1644</t>
  </si>
  <si>
    <t>25/06/2024</t>
  </si>
  <si>
    <t>U1165</t>
  </si>
  <si>
    <t>U1071</t>
  </si>
  <si>
    <t>02/25/2023</t>
  </si>
  <si>
    <t>U1652</t>
  </si>
  <si>
    <t>17/07/2023</t>
  </si>
  <si>
    <t>U1260</t>
  </si>
  <si>
    <t>25/07/2024</t>
  </si>
  <si>
    <t>U1363</t>
  </si>
  <si>
    <t>U1688</t>
  </si>
  <si>
    <t>23/02/2022</t>
  </si>
  <si>
    <t>U1424</t>
  </si>
  <si>
    <t>11/10/2022</t>
  </si>
  <si>
    <t>U1542</t>
  </si>
  <si>
    <t>01/26/2022</t>
  </si>
  <si>
    <t>U1105</t>
  </si>
  <si>
    <t>11/04/2024</t>
  </si>
  <si>
    <t>U1125</t>
  </si>
  <si>
    <t>23/06/2022</t>
  </si>
  <si>
    <t>U1435</t>
  </si>
  <si>
    <t>U1040</t>
  </si>
  <si>
    <t>17/04/2023</t>
  </si>
  <si>
    <t>U1459</t>
  </si>
  <si>
    <t>09/12/2022</t>
  </si>
  <si>
    <t>U1283</t>
  </si>
  <si>
    <t>02/18/2022</t>
  </si>
  <si>
    <t>U1175</t>
  </si>
  <si>
    <t>26/12/2022</t>
  </si>
  <si>
    <t>U1476</t>
  </si>
  <si>
    <t>02/06/2024</t>
  </si>
  <si>
    <t>U1541</t>
  </si>
  <si>
    <t>24/02/2023</t>
  </si>
  <si>
    <t>U1138</t>
  </si>
  <si>
    <t>01/19/2023</t>
  </si>
  <si>
    <t>U1658</t>
  </si>
  <si>
    <t>30/07/2022</t>
  </si>
  <si>
    <t>U1612</t>
  </si>
  <si>
    <t>03/06/2024</t>
  </si>
  <si>
    <t>U1415</t>
  </si>
  <si>
    <t>11/23/2022</t>
  </si>
  <si>
    <t>U1484</t>
  </si>
  <si>
    <t>14/10/2022</t>
  </si>
  <si>
    <t>U1379</t>
  </si>
  <si>
    <t>12/22/2023</t>
  </si>
  <si>
    <t>U1018</t>
  </si>
  <si>
    <t>02/13/2023</t>
  </si>
  <si>
    <t>U1029</t>
  </si>
  <si>
    <t>01/27/2022</t>
  </si>
  <si>
    <t>U1197</t>
  </si>
  <si>
    <t>04/02/2024</t>
  </si>
  <si>
    <t>U1006</t>
  </si>
  <si>
    <t>19/11/2022</t>
  </si>
  <si>
    <t>U1294</t>
  </si>
  <si>
    <t>U1393</t>
  </si>
  <si>
    <t>08/21/2023</t>
  </si>
  <si>
    <t>23/09/2022</t>
  </si>
  <si>
    <t>U1504</t>
  </si>
  <si>
    <t>12/07/2023</t>
  </si>
  <si>
    <t>U1440</t>
  </si>
  <si>
    <t>U1144</t>
  </si>
  <si>
    <t>U1210</t>
  </si>
  <si>
    <t>08/09/2022</t>
  </si>
  <si>
    <t>U1589</t>
  </si>
  <si>
    <t>31/05/2024</t>
  </si>
  <si>
    <t>U1291</t>
  </si>
  <si>
    <t>04/03/2024</t>
  </si>
  <si>
    <t>U1354</t>
  </si>
  <si>
    <t>26/04/2024</t>
  </si>
  <si>
    <t>U1191</t>
  </si>
  <si>
    <t>U1675</t>
  </si>
  <si>
    <t>14/04/2022</t>
  </si>
  <si>
    <t>U1004</t>
  </si>
  <si>
    <t>02/16/2023</t>
  </si>
  <si>
    <t>U1633</t>
  </si>
  <si>
    <t>23/08/2023</t>
  </si>
  <si>
    <t>U1606</t>
  </si>
  <si>
    <t>08/20/2024</t>
  </si>
  <si>
    <t>U1302</t>
  </si>
  <si>
    <t>11/07/2022</t>
  </si>
  <si>
    <t>U1512</t>
  </si>
  <si>
    <t>10/10/2022</t>
  </si>
  <si>
    <t>U1620</t>
  </si>
  <si>
    <t>21/07/2024</t>
  </si>
  <si>
    <t>U1020</t>
  </si>
  <si>
    <t>04/18/2022</t>
  </si>
  <si>
    <t>U1531</t>
  </si>
  <si>
    <t>07/08/2023</t>
  </si>
  <si>
    <t>U1349</t>
  </si>
  <si>
    <t>19/01/2024</t>
  </si>
  <si>
    <t>U1540</t>
  </si>
  <si>
    <t>05/10/2024</t>
  </si>
  <si>
    <t>U1204</t>
  </si>
  <si>
    <t>03/01/2023</t>
  </si>
  <si>
    <t>U1595</t>
  </si>
  <si>
    <t>02/14/2023</t>
  </si>
  <si>
    <t>U1217</t>
  </si>
  <si>
    <t>01/05/2023</t>
  </si>
  <si>
    <t>U1157</t>
  </si>
  <si>
    <t>28/05/2024</t>
  </si>
  <si>
    <t>U1529</t>
  </si>
  <si>
    <t>08/14/2024</t>
  </si>
  <si>
    <t>U1421</t>
  </si>
  <si>
    <t>U1083</t>
  </si>
  <si>
    <t>17/06/2023</t>
  </si>
  <si>
    <t>U1669</t>
  </si>
  <si>
    <t>05/22/2023</t>
  </si>
  <si>
    <t>U1208</t>
  </si>
  <si>
    <t>14/07/2023</t>
  </si>
  <si>
    <t>U1276</t>
  </si>
  <si>
    <t>U1124</t>
  </si>
  <si>
    <t>02/29/2024</t>
  </si>
  <si>
    <t>U1127</t>
  </si>
  <si>
    <t>U1535</t>
  </si>
  <si>
    <t>16/06/2022</t>
  </si>
  <si>
    <t>U1163</t>
  </si>
  <si>
    <t>14/11/2022</t>
  </si>
  <si>
    <t>U1689</t>
  </si>
  <si>
    <t>12/19/2022</t>
  </si>
  <si>
    <t>U1626</t>
  </si>
  <si>
    <t>03/10/2023</t>
  </si>
  <si>
    <t>U1347</t>
  </si>
  <si>
    <t>09/28/2022</t>
  </si>
  <si>
    <t>U1306</t>
  </si>
  <si>
    <t>08/04/2022</t>
  </si>
  <si>
    <t>U1241</t>
  </si>
  <si>
    <t>28/02/2022</t>
  </si>
  <si>
    <t>U1311</t>
  </si>
  <si>
    <t>U1336</t>
  </si>
  <si>
    <t>03/02/2023</t>
  </si>
  <si>
    <t>U1156</t>
  </si>
  <si>
    <t>08/27/2024</t>
  </si>
  <si>
    <t>U1392</t>
  </si>
  <si>
    <t>24/02/2022</t>
  </si>
  <si>
    <t>U1664</t>
  </si>
  <si>
    <t>27/09/2022</t>
  </si>
  <si>
    <t>U1471</t>
  </si>
  <si>
    <t>01/08/2023</t>
  </si>
  <si>
    <t>U1670</t>
  </si>
  <si>
    <t>U1172</t>
  </si>
  <si>
    <t>07/15/2022</t>
  </si>
  <si>
    <t>U1487</t>
  </si>
  <si>
    <t>U1623</t>
  </si>
  <si>
    <t>01/13/2024</t>
  </si>
  <si>
    <t>U1246</t>
  </si>
  <si>
    <t>02/08/2023</t>
  </si>
  <si>
    <t>U1182</t>
  </si>
  <si>
    <t>U1389</t>
  </si>
  <si>
    <t>26/01/2023</t>
  </si>
  <si>
    <t>U1585</t>
  </si>
  <si>
    <t>U1365</t>
  </si>
  <si>
    <t>08/07/2024</t>
  </si>
  <si>
    <t>U1461</t>
  </si>
  <si>
    <t>U1450</t>
  </si>
  <si>
    <t>22/06/2024</t>
  </si>
  <si>
    <t>U1508</t>
  </si>
  <si>
    <t>09/18/2022</t>
  </si>
  <si>
    <t>U1190</t>
  </si>
  <si>
    <t>22/07/2022</t>
  </si>
  <si>
    <t>U1375</t>
  </si>
  <si>
    <t>02/02/2022</t>
  </si>
  <si>
    <t>U1472</t>
  </si>
  <si>
    <t>U1067</t>
  </si>
  <si>
    <t>07/27/2024</t>
  </si>
  <si>
    <t>U1278</t>
  </si>
  <si>
    <t>05/29/2022</t>
  </si>
  <si>
    <t>U1263</t>
  </si>
  <si>
    <t>01/29/2024</t>
  </si>
  <si>
    <t>U1224</t>
  </si>
  <si>
    <t>U1198</t>
  </si>
  <si>
    <t>01/23/2022</t>
  </si>
  <si>
    <t>U1173</t>
  </si>
  <si>
    <t>29/10/2023</t>
  </si>
  <si>
    <t>U1481</t>
  </si>
  <si>
    <t>11/19/2022</t>
  </si>
  <si>
    <t>U1452</t>
  </si>
  <si>
    <t>29/09/2022</t>
  </si>
  <si>
    <t>U1427</t>
  </si>
  <si>
    <t>03/23/2023</t>
  </si>
  <si>
    <t>U1271</t>
  </si>
  <si>
    <t>31/03/2023</t>
  </si>
  <si>
    <t>U1017</t>
  </si>
  <si>
    <t>U1431</t>
  </si>
  <si>
    <t>U1430</t>
  </si>
  <si>
    <t>02/09/2023</t>
  </si>
  <si>
    <t>U1629</t>
  </si>
  <si>
    <t>01/10/2022</t>
  </si>
  <si>
    <t>U1267</t>
  </si>
  <si>
    <t>23/02/2024</t>
  </si>
  <si>
    <t>U1268</t>
  </si>
  <si>
    <t>04/06/2022</t>
  </si>
  <si>
    <t>U1343</t>
  </si>
  <si>
    <t>09/05/2023</t>
  </si>
  <si>
    <t>U1299</t>
  </si>
  <si>
    <t>30/08/2024</t>
  </si>
  <si>
    <t>U1179</t>
  </si>
  <si>
    <t>11/06/2023</t>
  </si>
  <si>
    <t>U1293</t>
  </si>
  <si>
    <t>08/29/2023</t>
  </si>
  <si>
    <t>U1546</t>
  </si>
  <si>
    <t>07/22/2023</t>
  </si>
  <si>
    <t>U1377</t>
  </si>
  <si>
    <t>21/06/2024</t>
  </si>
  <si>
    <t>U1610</t>
  </si>
  <si>
    <t>U1371</t>
  </si>
  <si>
    <t>05/28/2024</t>
  </si>
  <si>
    <t>U1061</t>
  </si>
  <si>
    <t>08/11/2022</t>
  </si>
  <si>
    <t>U1480</t>
  </si>
  <si>
    <t>25/03/2024</t>
  </si>
  <si>
    <t>U1628</t>
  </si>
  <si>
    <t>U1598</t>
  </si>
  <si>
    <t>17/07/2024</t>
  </si>
  <si>
    <t>U1682</t>
  </si>
  <si>
    <t>14/08/2024</t>
  </si>
  <si>
    <t>U1280</t>
  </si>
  <si>
    <t>12/15/2023</t>
  </si>
  <si>
    <t>U1323</t>
  </si>
  <si>
    <t>14/01/2023</t>
  </si>
  <si>
    <t>U1095</t>
  </si>
  <si>
    <t>09/30/2023</t>
  </si>
  <si>
    <t>U1066</t>
  </si>
  <si>
    <t>21/07/2022</t>
  </si>
  <si>
    <t>U1388</t>
  </si>
  <si>
    <t>08/14/2023</t>
  </si>
  <si>
    <t>U1181</t>
  </si>
  <si>
    <t>07/17/2022</t>
  </si>
  <si>
    <t>U1221</t>
  </si>
  <si>
    <t>06/02/2023</t>
  </si>
  <si>
    <t>U1279</t>
  </si>
  <si>
    <t>U1234</t>
  </si>
  <si>
    <t>22/02/2023</t>
  </si>
  <si>
    <t>U1146</t>
  </si>
  <si>
    <t>11/03/2022</t>
  </si>
  <si>
    <t>U1360</t>
  </si>
  <si>
    <t>06/27/2023</t>
  </si>
  <si>
    <t>U1438</t>
  </si>
  <si>
    <t>13/10/2023</t>
  </si>
  <si>
    <t>U1258</t>
  </si>
  <si>
    <t>31/10/2022</t>
  </si>
  <si>
    <t>U1395</t>
  </si>
  <si>
    <t>08/01/2023</t>
  </si>
  <si>
    <t>U1448</t>
  </si>
  <si>
    <t>16/02/2024</t>
  </si>
  <si>
    <t>U1560</t>
  </si>
  <si>
    <t>17/03/2024</t>
  </si>
  <si>
    <t>U1321</t>
  </si>
  <si>
    <t>03/03/2022</t>
  </si>
  <si>
    <t>U1467</t>
  </si>
  <si>
    <t>U1337</t>
  </si>
  <si>
    <t>29/07/2023</t>
  </si>
  <si>
    <t>U1619</t>
  </si>
  <si>
    <t>03/12/2022</t>
  </si>
  <si>
    <t>U1194</t>
  </si>
  <si>
    <t>22/03/2023</t>
  </si>
  <si>
    <t>U1253</t>
  </si>
  <si>
    <t>23/10/2022</t>
  </si>
  <si>
    <t>U1524</t>
  </si>
  <si>
    <t>25/10/2023</t>
  </si>
  <si>
    <t>U1111</t>
  </si>
  <si>
    <t>U1381</t>
  </si>
  <si>
    <t>18/09/2022</t>
  </si>
  <si>
    <t>U1305</t>
  </si>
  <si>
    <t>19/05/2024</t>
  </si>
  <si>
    <t>U1660</t>
  </si>
  <si>
    <t>01/05/2024</t>
  </si>
  <si>
    <t>U1153</t>
  </si>
  <si>
    <t>15/09/2022</t>
  </si>
  <si>
    <t>U1143</t>
  </si>
  <si>
    <t>U1437</t>
  </si>
  <si>
    <t>U1645</t>
  </si>
  <si>
    <t>01/27/2024</t>
  </si>
  <si>
    <t>U1290</t>
  </si>
  <si>
    <t>20/08/2022</t>
  </si>
  <si>
    <t>U1497</t>
  </si>
  <si>
    <t>U1554</t>
  </si>
  <si>
    <t>05/10/2023</t>
  </si>
  <si>
    <t>U1202</t>
  </si>
  <si>
    <t>05/12/2023</t>
  </si>
  <si>
    <t>U1122</t>
  </si>
  <si>
    <t>06/11/2023</t>
  </si>
  <si>
    <t>U1611</t>
  </si>
  <si>
    <t>13/05/2022</t>
  </si>
  <si>
    <t>U1426</t>
  </si>
  <si>
    <t>26/09/2022</t>
  </si>
  <si>
    <t>U1273</t>
  </si>
  <si>
    <t>26/02/2023</t>
  </si>
  <si>
    <t>U1406</t>
  </si>
  <si>
    <t>U1087</t>
  </si>
  <si>
    <t>U1667</t>
  </si>
  <si>
    <t>U1603</t>
  </si>
  <si>
    <t>06/03/2024</t>
  </si>
  <si>
    <t>U1378</t>
  </si>
  <si>
    <t>01/21/2024</t>
  </si>
  <si>
    <t>U1584</t>
  </si>
  <si>
    <t>07/21/2023</t>
  </si>
  <si>
    <t>U1404</t>
  </si>
  <si>
    <t>16/02/2022</t>
  </si>
  <si>
    <t>U1373</t>
  </si>
  <si>
    <t>12/05/2023</t>
  </si>
  <si>
    <t>U1065</t>
  </si>
  <si>
    <t>01/01/2022</t>
  </si>
  <si>
    <t>U1226</t>
  </si>
  <si>
    <t>05/20/2023</t>
  </si>
  <si>
    <t>U1479</t>
  </si>
  <si>
    <t>U1532</t>
  </si>
  <si>
    <t>15/07/2022</t>
  </si>
  <si>
    <t>U1034</t>
  </si>
  <si>
    <t>16/04/2023</t>
  </si>
  <si>
    <t>U1465</t>
  </si>
  <si>
    <t>U1089</t>
  </si>
  <si>
    <t>19/02/2022</t>
  </si>
  <si>
    <t>U1350</t>
  </si>
  <si>
    <t>U1112</t>
  </si>
  <si>
    <t>U1049</t>
  </si>
  <si>
    <t>13/02/2024</t>
  </si>
  <si>
    <t>U1601</t>
  </si>
  <si>
    <t>13/04/2022</t>
  </si>
  <si>
    <t>U1572</t>
  </si>
  <si>
    <t>23/10/2023</t>
  </si>
  <si>
    <t>U1192</t>
  </si>
  <si>
    <t>08/21/2022</t>
  </si>
  <si>
    <t>U1348</t>
  </si>
  <si>
    <t>02/11/2022</t>
  </si>
  <si>
    <t>U1255</t>
  </si>
  <si>
    <t>13/12/2023</t>
  </si>
  <si>
    <t>U1110</t>
  </si>
  <si>
    <t>10/03/2023</t>
  </si>
  <si>
    <t>U1223</t>
  </si>
  <si>
    <t>U1032</t>
  </si>
  <si>
    <t>22/11/2023</t>
  </si>
  <si>
    <t>U1663</t>
  </si>
  <si>
    <t>13/04/2023</t>
  </si>
  <si>
    <t>U1520</t>
  </si>
  <si>
    <t>11/08/2023</t>
  </si>
  <si>
    <t>U1353</t>
  </si>
  <si>
    <t>04/02/2023</t>
  </si>
  <si>
    <t>25/12/2023</t>
  </si>
  <si>
    <t>U1537</t>
  </si>
  <si>
    <t>U1419</t>
  </si>
  <si>
    <t>U1228</t>
  </si>
  <si>
    <t>16/01/2023</t>
  </si>
  <si>
    <t>U1100</t>
  </si>
  <si>
    <t>06/11/2024</t>
  </si>
  <si>
    <t>U1608</t>
  </si>
  <si>
    <t>20/06/2022</t>
  </si>
  <si>
    <t>U1275</t>
  </si>
  <si>
    <t>04/06/2023</t>
  </si>
  <si>
    <t>U1464</t>
  </si>
  <si>
    <t>02/21/2024</t>
  </si>
  <si>
    <t>U1219</t>
  </si>
  <si>
    <t>03/23/2022</t>
  </si>
  <si>
    <t>U1383</t>
  </si>
  <si>
    <t>17/11/2023</t>
  </si>
  <si>
    <t>U1003</t>
  </si>
  <si>
    <t>11/01/2022</t>
  </si>
  <si>
    <t>U1665</t>
  </si>
  <si>
    <t>U1248</t>
  </si>
  <si>
    <t>11/30/2023</t>
  </si>
  <si>
    <t>U1188</t>
  </si>
  <si>
    <t>U1259</t>
  </si>
  <si>
    <t>U1428</t>
  </si>
  <si>
    <t>U1295</t>
  </si>
  <si>
    <t>02/22/2023</t>
  </si>
  <si>
    <t>U1053</t>
  </si>
  <si>
    <t>U1139</t>
  </si>
  <si>
    <t>09/14/2023</t>
  </si>
  <si>
    <t>U1624</t>
  </si>
  <si>
    <t>U1242</t>
  </si>
  <si>
    <t>09/06/2022</t>
  </si>
  <si>
    <t>U1494</t>
  </si>
  <si>
    <t>06/14/2023</t>
  </si>
  <si>
    <t>U1021</t>
  </si>
  <si>
    <t>U1230</t>
  </si>
  <si>
    <t>16/06/2024</t>
  </si>
  <si>
    <t>U1184</t>
  </si>
  <si>
    <t>21/06/2022</t>
  </si>
  <si>
    <t>U1022</t>
  </si>
  <si>
    <t>U1478</t>
  </si>
  <si>
    <t>12/16/2023</t>
  </si>
  <si>
    <t>U1411</t>
  </si>
  <si>
    <t>04/04/2024</t>
  </si>
  <si>
    <t>U1303</t>
  </si>
  <si>
    <t>07/24/2024</t>
  </si>
  <si>
    <t>U1543</t>
  </si>
  <si>
    <t>U1503</t>
  </si>
  <si>
    <t>U1613</t>
  </si>
  <si>
    <t>12/07/2022</t>
  </si>
  <si>
    <t>U1174</t>
  </si>
  <si>
    <t>U1640</t>
  </si>
  <si>
    <t>08/07/2022</t>
  </si>
  <si>
    <t>U1218</t>
  </si>
  <si>
    <t>10/28/2023</t>
  </si>
  <si>
    <t>U1418</t>
  </si>
  <si>
    <t>U1039</t>
  </si>
  <si>
    <t>U1177</t>
  </si>
  <si>
    <t>15/08/2023</t>
  </si>
  <si>
    <t>U1286</t>
  </si>
  <si>
    <t>U1171</t>
  </si>
  <si>
    <t>20/04/2022</t>
  </si>
  <si>
    <t>U1274</t>
  </si>
  <si>
    <t>06/09/2024</t>
  </si>
  <si>
    <t>U1634</t>
  </si>
  <si>
    <t>01/06/2023</t>
  </si>
  <si>
    <t>U1296</t>
  </si>
  <si>
    <t>15/03/2022</t>
  </si>
  <si>
    <t>U1380</t>
  </si>
  <si>
    <t>12/21/2022</t>
  </si>
  <si>
    <t>U1387</t>
  </si>
  <si>
    <t>U1420</t>
  </si>
  <si>
    <t>U1092</t>
  </si>
  <si>
    <t>03/17/2022</t>
  </si>
  <si>
    <t>U1695</t>
  </si>
  <si>
    <t>14/06/2024</t>
  </si>
  <si>
    <t>U1576</t>
  </si>
  <si>
    <t>03/14/2023</t>
  </si>
  <si>
    <t>U1117</t>
  </si>
  <si>
    <t>12/25/2023</t>
  </si>
  <si>
    <t>U1674</t>
  </si>
  <si>
    <t>16/05/2024</t>
  </si>
  <si>
    <t>U1164</t>
  </si>
  <si>
    <t>05/02/2023</t>
  </si>
  <si>
    <t>U1237</t>
  </si>
  <si>
    <t>U1046</t>
  </si>
  <si>
    <t>02/06/2022</t>
  </si>
  <si>
    <t>U1364</t>
  </si>
  <si>
    <t>08/30/2022</t>
  </si>
  <si>
    <t>U1573</t>
  </si>
  <si>
    <t>12/22/2022</t>
  </si>
  <si>
    <t>U1489</t>
  </si>
  <si>
    <t>12/10/2023</t>
  </si>
  <si>
    <t>U1044</t>
  </si>
  <si>
    <t>U1547</t>
  </si>
  <si>
    <t>03/07/2022</t>
  </si>
  <si>
    <t>U1382</t>
  </si>
  <si>
    <t>29/06/2022</t>
  </si>
  <si>
    <t>U1180</t>
  </si>
  <si>
    <t>12/11/2022</t>
  </si>
  <si>
    <t>U1145</t>
  </si>
  <si>
    <t>U1317</t>
  </si>
  <si>
    <t>10/08/2022</t>
  </si>
  <si>
    <t>U1206</t>
  </si>
  <si>
    <t>04/11/2023</t>
  </si>
  <si>
    <t>01/15/2022</t>
  </si>
  <si>
    <t>U1445</t>
  </si>
  <si>
    <t>U1150</t>
  </si>
  <si>
    <t>25/09/2022</t>
  </si>
  <si>
    <t>U1570</t>
  </si>
  <si>
    <t>U1327</t>
  </si>
  <si>
    <t>02/04/2024</t>
  </si>
  <si>
    <t>U1356</t>
  </si>
  <si>
    <t>12/09/2022</t>
  </si>
  <si>
    <t>U1538</t>
  </si>
  <si>
    <t>03/22/2022</t>
  </si>
  <si>
    <t>U1096</t>
  </si>
  <si>
    <t>U1104</t>
  </si>
  <si>
    <t>U1359</t>
  </si>
  <si>
    <t>U1627</t>
  </si>
  <si>
    <t>04/03/2022</t>
  </si>
  <si>
    <t>U1410</t>
  </si>
  <si>
    <t>U1441</t>
  </si>
  <si>
    <t>04/03/2023</t>
  </si>
  <si>
    <t>U1482</t>
  </si>
  <si>
    <t>U1513</t>
  </si>
  <si>
    <t>U1081</t>
  </si>
  <si>
    <t>U1001</t>
  </si>
  <si>
    <t>11/04/2022</t>
  </si>
  <si>
    <t>U1183</t>
  </si>
  <si>
    <t>06/21/2023</t>
  </si>
  <si>
    <t>U1575</t>
  </si>
  <si>
    <t>02/25/2022</t>
  </si>
  <si>
    <t>U1672</t>
  </si>
  <si>
    <t>25/08/2023</t>
  </si>
  <si>
    <t>U1050</t>
  </si>
  <si>
    <t>25/09/2023</t>
  </si>
  <si>
    <t>U1443</t>
  </si>
  <si>
    <t>06/14/2024</t>
  </si>
  <si>
    <t>U1518</t>
  </si>
  <si>
    <t>01/03/2023</t>
  </si>
  <si>
    <t>U1114</t>
  </si>
  <si>
    <t>05/24/2022</t>
  </si>
  <si>
    <t>U1158</t>
  </si>
  <si>
    <t>09/05/2022</t>
  </si>
  <si>
    <t>U1052</t>
  </si>
  <si>
    <t>28/12/2023</t>
  </si>
  <si>
    <t>U1010</t>
  </si>
  <si>
    <t>U1094</t>
  </si>
  <si>
    <t>08/17/2024</t>
  </si>
  <si>
    <t>U1051</t>
  </si>
  <si>
    <t>U1462</t>
  </si>
  <si>
    <t>01/18/2022</t>
  </si>
  <si>
    <t>U1496</t>
  </si>
  <si>
    <t>03/24/2022</t>
  </si>
  <si>
    <t>U1374</t>
  </si>
  <si>
    <t>04/11/2022</t>
  </si>
  <si>
    <t>U1423</t>
  </si>
  <si>
    <t>09/23/2022</t>
  </si>
  <si>
    <t>U1134</t>
  </si>
  <si>
    <t>U1593</t>
  </si>
  <si>
    <t>14/06/2022</t>
  </si>
  <si>
    <t>U1416</t>
  </si>
  <si>
    <t>04/17/2023</t>
  </si>
  <si>
    <t>U1254</t>
  </si>
  <si>
    <t>U1414</t>
  </si>
  <si>
    <t>U1331</t>
  </si>
  <si>
    <t>03/14/2022</t>
  </si>
  <si>
    <t>U1093</t>
  </si>
  <si>
    <t>03/04/2024</t>
  </si>
  <si>
    <t>U1233</t>
  </si>
  <si>
    <t>07/16/2024</t>
  </si>
  <si>
    <t>U1544</t>
  </si>
  <si>
    <t>20/08/2024</t>
  </si>
  <si>
    <t>U1346</t>
  </si>
  <si>
    <t>03/05/2022</t>
  </si>
  <si>
    <t>U1120</t>
  </si>
  <si>
    <t>02/15/2023</t>
  </si>
  <si>
    <t>U1008</t>
  </si>
  <si>
    <t>Number of Nulls</t>
  </si>
  <si>
    <t>Number of Nulls who have not cancelled their subscription</t>
  </si>
  <si>
    <t>Count Not Cancelled Subscription</t>
  </si>
  <si>
    <t>Count Cancelled Subscription</t>
  </si>
  <si>
    <t>Total Number of Subscribers</t>
  </si>
  <si>
    <t>Churn Rate</t>
  </si>
  <si>
    <t>Average Satisfaction Rate</t>
  </si>
  <si>
    <t>Total Number of Free Subscribers</t>
  </si>
  <si>
    <t>Number of Free Not Cancelled</t>
  </si>
  <si>
    <t>Number of Free Cancelled</t>
  </si>
  <si>
    <t>Number of Student Not Cancelled</t>
  </si>
  <si>
    <t>Number of Student Cancelled</t>
  </si>
  <si>
    <t>Total Number of Student Subscribers</t>
  </si>
  <si>
    <t>Number of Family Not Cancelled</t>
  </si>
  <si>
    <t>Number of Family Cancelled</t>
  </si>
  <si>
    <t>Total Number of Family Subscribers</t>
  </si>
  <si>
    <t>Number of Premium Not Cancelled</t>
  </si>
  <si>
    <t>Number of Premium Cancelled</t>
  </si>
  <si>
    <t>Total Number of Premium Subscribers</t>
  </si>
  <si>
    <t>Total Churn Rate</t>
  </si>
  <si>
    <t>Free Member Churn Rate</t>
  </si>
  <si>
    <t>Student Member Churn Rate</t>
  </si>
  <si>
    <t>Family Member Churn Rate</t>
  </si>
  <si>
    <t>Premium Member Churn Rate</t>
  </si>
  <si>
    <t>Total Average Listening Hours per Week Family (h per week)</t>
  </si>
  <si>
    <t>Total Average Listening Hours per Week Free (h per week)</t>
  </si>
  <si>
    <t>Total Average Listening Hours per Week Student (h per week)</t>
  </si>
  <si>
    <t>Total Average Listening Hours per Week Premium (h per week)</t>
  </si>
  <si>
    <t>Total Average Listening Hours per Week</t>
  </si>
  <si>
    <t>Row Labels</t>
  </si>
  <si>
    <t>Grand Total</t>
  </si>
  <si>
    <t>Sum of avg_listening_hours_per_week</t>
  </si>
  <si>
    <t>Sum of total_songs_played</t>
  </si>
  <si>
    <t>Sum of monthly_fee</t>
  </si>
  <si>
    <t>Satisfaction Score</t>
  </si>
  <si>
    <t>Country</t>
  </si>
  <si>
    <t>Null</t>
  </si>
  <si>
    <t>Total</t>
  </si>
  <si>
    <t>Net Monthly Income per Customer</t>
  </si>
  <si>
    <t>Av Churn</t>
  </si>
  <si>
    <t>Satisfaction</t>
  </si>
  <si>
    <t>Churn</t>
  </si>
  <si>
    <t>Age</t>
  </si>
  <si>
    <t>Sub Type</t>
  </si>
  <si>
    <t>Skip Rate</t>
  </si>
  <si>
    <r>
      <rPr>
        <b/>
        <sz val="11"/>
        <color theme="1"/>
        <rFont val="Aptos Narrow"/>
        <family val="2"/>
        <scheme val="minor"/>
      </rPr>
      <t xml:space="preserve">Recommendation: 
</t>
    </r>
    <r>
      <rPr>
        <sz val="11"/>
        <color theme="1"/>
        <rFont val="Aptos Narrow"/>
        <family val="2"/>
        <scheme val="minor"/>
      </rPr>
      <t>1. No strong correlation between satisfaction and churn. Recommend reviewing feedback questionaire and improving satisfaction calculation.</t>
    </r>
  </si>
  <si>
    <t>N Users</t>
  </si>
  <si>
    <t>under 18</t>
  </si>
  <si>
    <t>18 - 24</t>
  </si>
  <si>
    <t>25 - 34</t>
  </si>
  <si>
    <t>35 - 44</t>
  </si>
  <si>
    <t>45 - 54</t>
  </si>
  <si>
    <t>55 - 64</t>
  </si>
  <si>
    <t>Age Range</t>
  </si>
  <si>
    <t>Churned</t>
  </si>
  <si>
    <r>
      <rPr>
        <b/>
        <sz val="11"/>
        <color theme="1"/>
        <rFont val="Aptos Narrow"/>
        <family val="2"/>
        <scheme val="minor"/>
      </rPr>
      <t xml:space="preserve">Recommendation: 
</t>
    </r>
    <r>
      <rPr>
        <sz val="11"/>
        <color theme="1"/>
        <rFont val="Aptos Narrow"/>
        <family val="2"/>
        <scheme val="minor"/>
      </rPr>
      <t>1. Core Market 35 -64.
2. Minimise churn within core market. Further study into type of music most listened to with fewest skips and algorythnm recommendation optimisation.</t>
    </r>
  </si>
  <si>
    <t>1. Price potentially a main factor</t>
  </si>
  <si>
    <t>451 - 475</t>
  </si>
  <si>
    <t>476 - 500</t>
  </si>
  <si>
    <t>501 - 525</t>
  </si>
  <si>
    <t>526 - 550</t>
  </si>
  <si>
    <t>551 - 575</t>
  </si>
  <si>
    <t>Total Songs</t>
  </si>
  <si>
    <t>Up to 450</t>
  </si>
  <si>
    <t>Average Listening Hours</t>
  </si>
  <si>
    <t>1. No strong correlation between skip and churn measured against number of songs played. Algorythm most optimalat 526 - 550 listens, and then takes a downturn in efficiency (skip rate). Recommendation: Examine this anomaly.
2. Most likely to lose listerners between 501 - 550 listens, after which loyalty significantly solidifies. Need to encentivise listeners to stay throught this period.</t>
  </si>
  <si>
    <r>
      <rPr>
        <b/>
        <sz val="11"/>
        <color theme="1"/>
        <rFont val="Aptos Narrow"/>
        <family val="2"/>
        <scheme val="minor"/>
      </rPr>
      <t xml:space="preserve">Recommendation: 
</t>
    </r>
    <r>
      <rPr>
        <sz val="11"/>
        <color theme="1"/>
        <rFont val="Aptos Narrow"/>
        <family val="2"/>
        <scheme val="minor"/>
      </rPr>
      <t>1. Lowest churn in Nepal, India and USA.
2. Highest churn in Brazil, Ghana, Nigeria.
3. Concentrate on increasing membership in core markets: India, USA.
4. Prioritise reducing UK churn &amp; Brazil due to high spend per customer.</t>
    </r>
  </si>
  <si>
    <t>Year</t>
  </si>
  <si>
    <t>Average Churn</t>
  </si>
  <si>
    <t>Year of Join</t>
  </si>
  <si>
    <t>Good short term retention. Issues holding people for the longer term.</t>
  </si>
  <si>
    <t>Subscriber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</si>
</sst>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theme="9"/>
      </top>
      <bottom style="thin">
        <color theme="9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0" fontId="0" fillId="0" borderId="1" xfId="0" applyBorder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0" fillId="0" borderId="0" xfId="0" applyAlignment="1">
      <alignment wrapText="1"/>
    </xf>
    <xf numFmtId="2" fontId="0" fillId="0" borderId="0" xfId="0" applyNumberFormat="1"/>
    <xf numFmtId="9" fontId="0" fillId="0" borderId="0" xfId="1" applyFont="1"/>
    <xf numFmtId="1" fontId="0" fillId="0" borderId="0" xfId="0" applyNumberFormat="1"/>
    <xf numFmtId="9" fontId="0" fillId="0" borderId="0" xfId="1" applyFont="1" applyFill="1"/>
    <xf numFmtId="165" fontId="0" fillId="0" borderId="0" xfId="1" applyNumberFormat="1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wrapText="1"/>
    </xf>
  </cellXfs>
  <cellStyles count="2">
    <cellStyle name="Normal" xfId="0" builtinId="0"/>
    <cellStyle name="Per cent" xfId="1" builtinId="5"/>
  </cellStyles>
  <dxfs count="1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/>
              <a:t>Churn Rate Vs </a:t>
            </a:r>
            <a:r>
              <a:rPr lang="en-GB" sz="1200" b="1" baseline="0"/>
              <a:t>Subscription Type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25400">
              <a:noFill/>
            </a:ln>
          </c:spPr>
          <c:marker>
            <c:symbol val="circle"/>
            <c:size val="8"/>
          </c:marker>
          <c:dPt>
            <c:idx val="0"/>
            <c:marker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427-4BD6-8562-592A5B8598F0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427-4BD6-8562-592A5B8598F0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427-4BD6-8562-592A5B8598F0}"/>
              </c:ext>
            </c:extLst>
          </c:dPt>
          <c:dPt>
            <c:idx val="3"/>
            <c:marker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427-4BD6-8562-592A5B8598F0}"/>
              </c:ext>
            </c:extLst>
          </c:dPt>
          <c:dPt>
            <c:idx val="4"/>
            <c:marker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427-4BD6-8562-592A5B8598F0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customer_data_removed_duplicate!$O$731:$O$735</c:f>
              <c:strCache>
                <c:ptCount val="5"/>
                <c:pt idx="0">
                  <c:v>Total Churn Rate</c:v>
                </c:pt>
                <c:pt idx="1">
                  <c:v>Free Member Churn Rate</c:v>
                </c:pt>
                <c:pt idx="2">
                  <c:v>Student Member Churn Rate</c:v>
                </c:pt>
                <c:pt idx="3">
                  <c:v>Family Member Churn Rate</c:v>
                </c:pt>
                <c:pt idx="4">
                  <c:v>Premium Member Churn Rate</c:v>
                </c:pt>
              </c:strCache>
            </c:strRef>
          </c:cat>
          <c:val>
            <c:numRef>
              <c:f>customer_data_removed_duplicate!$P$731:$P$735</c:f>
              <c:numCache>
                <c:formatCode>0.0%</c:formatCode>
                <c:ptCount val="5"/>
                <c:pt idx="0">
                  <c:v>0.30571428571428572</c:v>
                </c:pt>
                <c:pt idx="1">
                  <c:v>0.25490196078431371</c:v>
                </c:pt>
                <c:pt idx="2">
                  <c:v>0.30049261083743845</c:v>
                </c:pt>
                <c:pt idx="3">
                  <c:v>0.33014354066985646</c:v>
                </c:pt>
                <c:pt idx="4">
                  <c:v>0.31182795698924731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6D-472B-B9A5-3B4387B68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6574128"/>
        <c:axId val="916572208"/>
      </c:lineChart>
      <c:catAx>
        <c:axId val="916574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Churn Subscription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572208"/>
        <c:crosses val="autoZero"/>
        <c:auto val="1"/>
        <c:lblAlgn val="ctr"/>
        <c:lblOffset val="100"/>
        <c:noMultiLvlLbl val="0"/>
      </c:catAx>
      <c:valAx>
        <c:axId val="916572208"/>
        <c:scaling>
          <c:orientation val="minMax"/>
          <c:max val="0.32000000000000006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Churn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57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0"/>
              <a:t>Country: Churn </a:t>
            </a:r>
          </a:p>
        </c:rich>
      </c:tx>
      <c:layout>
        <c:manualLayout>
          <c:xMode val="edge"/>
          <c:yMode val="edge"/>
          <c:x val="0.36619271015827198"/>
          <c:y val="4.6194227237343415E-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Analysis'!$E$1</c:f>
              <c:strCache>
                <c:ptCount val="1"/>
                <c:pt idx="0">
                  <c:v>Subscriber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Analysis'!$D$2:$D$10</c:f>
              <c:strCache>
                <c:ptCount val="9"/>
                <c:pt idx="0">
                  <c:v>South Africa</c:v>
                </c:pt>
                <c:pt idx="1">
                  <c:v>India</c:v>
                </c:pt>
                <c:pt idx="2">
                  <c:v>Nigeria</c:v>
                </c:pt>
                <c:pt idx="3">
                  <c:v>Ghana</c:v>
                </c:pt>
                <c:pt idx="4">
                  <c:v>Kenya</c:v>
                </c:pt>
                <c:pt idx="5">
                  <c:v>Nepal</c:v>
                </c:pt>
                <c:pt idx="6">
                  <c:v>United Kingdom</c:v>
                </c:pt>
                <c:pt idx="7">
                  <c:v>USA</c:v>
                </c:pt>
                <c:pt idx="8">
                  <c:v>Brazil</c:v>
                </c:pt>
              </c:strCache>
            </c:strRef>
          </c:cat>
          <c:val>
            <c:numRef>
              <c:f>'Churn Analysis'!$E$2:$E$10</c:f>
              <c:numCache>
                <c:formatCode>0</c:formatCode>
                <c:ptCount val="9"/>
                <c:pt idx="0">
                  <c:v>55</c:v>
                </c:pt>
                <c:pt idx="1">
                  <c:v>114</c:v>
                </c:pt>
                <c:pt idx="2">
                  <c:v>65</c:v>
                </c:pt>
                <c:pt idx="3">
                  <c:v>56</c:v>
                </c:pt>
                <c:pt idx="4">
                  <c:v>65</c:v>
                </c:pt>
                <c:pt idx="5">
                  <c:v>46</c:v>
                </c:pt>
                <c:pt idx="6">
                  <c:v>183</c:v>
                </c:pt>
                <c:pt idx="7">
                  <c:v>76</c:v>
                </c:pt>
                <c:pt idx="8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5-44F7-837A-308BE0A1F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285120"/>
        <c:axId val="2048280320"/>
      </c:barChart>
      <c:lineChart>
        <c:grouping val="standard"/>
        <c:varyColors val="0"/>
        <c:ser>
          <c:idx val="1"/>
          <c:order val="1"/>
          <c:tx>
            <c:strRef>
              <c:f>'Churn Analysis'!$F$1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7.1104330708661526E-2"/>
                  <c:y val="2.36920384951880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35-44F7-837A-308BE0A1F30D}"/>
                </c:ext>
              </c:extLst>
            </c:dLbl>
            <c:dLbl>
              <c:idx val="7"/>
              <c:layout>
                <c:manualLayout>
                  <c:x val="-4.7598747015075105E-2"/>
                  <c:y val="3.28585312617628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35-44F7-837A-308BE0A1F3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Analysis'!$D$2:$D$10</c:f>
              <c:strCache>
                <c:ptCount val="9"/>
                <c:pt idx="0">
                  <c:v>South Africa</c:v>
                </c:pt>
                <c:pt idx="1">
                  <c:v>India</c:v>
                </c:pt>
                <c:pt idx="2">
                  <c:v>Nigeria</c:v>
                </c:pt>
                <c:pt idx="3">
                  <c:v>Ghana</c:v>
                </c:pt>
                <c:pt idx="4">
                  <c:v>Kenya</c:v>
                </c:pt>
                <c:pt idx="5">
                  <c:v>Nepal</c:v>
                </c:pt>
                <c:pt idx="6">
                  <c:v>United Kingdom</c:v>
                </c:pt>
                <c:pt idx="7">
                  <c:v>USA</c:v>
                </c:pt>
                <c:pt idx="8">
                  <c:v>Brazil</c:v>
                </c:pt>
              </c:strCache>
            </c:strRef>
          </c:cat>
          <c:val>
            <c:numRef>
              <c:f>'Churn Analysis'!$F$2:$F$10</c:f>
              <c:numCache>
                <c:formatCode>0%</c:formatCode>
                <c:ptCount val="9"/>
                <c:pt idx="0">
                  <c:v>0.27272727272727271</c:v>
                </c:pt>
                <c:pt idx="1">
                  <c:v>0.24561403508771928</c:v>
                </c:pt>
                <c:pt idx="2">
                  <c:v>0.38461538461538464</c:v>
                </c:pt>
                <c:pt idx="3">
                  <c:v>0.375</c:v>
                </c:pt>
                <c:pt idx="4">
                  <c:v>0.32307692307692309</c:v>
                </c:pt>
                <c:pt idx="5">
                  <c:v>0.2608695652173913</c:v>
                </c:pt>
                <c:pt idx="6">
                  <c:v>0.32240437158469948</c:v>
                </c:pt>
                <c:pt idx="7">
                  <c:v>0.23684210526315788</c:v>
                </c:pt>
                <c:pt idx="8">
                  <c:v>0.375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35-44F7-837A-308BE0A1F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8284640"/>
        <c:axId val="2048290880"/>
      </c:lineChart>
      <c:catAx>
        <c:axId val="204828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280320"/>
        <c:crosses val="autoZero"/>
        <c:auto val="1"/>
        <c:lblAlgn val="ctr"/>
        <c:lblOffset val="100"/>
        <c:noMultiLvlLbl val="0"/>
      </c:catAx>
      <c:valAx>
        <c:axId val="2048280320"/>
        <c:scaling>
          <c:orientation val="minMax"/>
          <c:max val="2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285120"/>
        <c:crosses val="autoZero"/>
        <c:crossBetween val="between"/>
      </c:valAx>
      <c:valAx>
        <c:axId val="2048290880"/>
        <c:scaling>
          <c:orientation val="minMax"/>
          <c:max val="0.38500000000000006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284640"/>
        <c:crosses val="max"/>
        <c:crossBetween val="between"/>
      </c:valAx>
      <c:catAx>
        <c:axId val="2048284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48290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 Range: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Analysis'!$L$1</c:f>
              <c:strCache>
                <c:ptCount val="1"/>
                <c:pt idx="0">
                  <c:v>Subscriber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Analysis'!$K$2:$K$7</c:f>
              <c:strCache>
                <c:ptCount val="6"/>
                <c:pt idx="0">
                  <c:v>under 18</c:v>
                </c:pt>
                <c:pt idx="1">
                  <c:v>18 - 24</c:v>
                </c:pt>
                <c:pt idx="2">
                  <c:v>25 - 34</c:v>
                </c:pt>
                <c:pt idx="3">
                  <c:v>35 - 44</c:v>
                </c:pt>
                <c:pt idx="4">
                  <c:v>45 - 54</c:v>
                </c:pt>
                <c:pt idx="5">
                  <c:v>55 - 64</c:v>
                </c:pt>
              </c:strCache>
            </c:strRef>
          </c:cat>
          <c:val>
            <c:numRef>
              <c:f>'Churn Analysis'!$L$2:$L$7</c:f>
              <c:numCache>
                <c:formatCode>General</c:formatCode>
                <c:ptCount val="6"/>
                <c:pt idx="0">
                  <c:v>74</c:v>
                </c:pt>
                <c:pt idx="1">
                  <c:v>94</c:v>
                </c:pt>
                <c:pt idx="2">
                  <c:v>120</c:v>
                </c:pt>
                <c:pt idx="3">
                  <c:v>143</c:v>
                </c:pt>
                <c:pt idx="4">
                  <c:v>130</c:v>
                </c:pt>
                <c:pt idx="5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1-4960-B835-E51F58245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3054767"/>
        <c:axId val="413051887"/>
      </c:barChart>
      <c:lineChart>
        <c:grouping val="standard"/>
        <c:varyColors val="0"/>
        <c:ser>
          <c:idx val="1"/>
          <c:order val="1"/>
          <c:tx>
            <c:strRef>
              <c:f>'Churn Analysis'!$M$1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Analysis'!$K$2:$K$7</c:f>
              <c:strCache>
                <c:ptCount val="6"/>
                <c:pt idx="0">
                  <c:v>under 18</c:v>
                </c:pt>
                <c:pt idx="1">
                  <c:v>18 - 24</c:v>
                </c:pt>
                <c:pt idx="2">
                  <c:v>25 - 34</c:v>
                </c:pt>
                <c:pt idx="3">
                  <c:v>35 - 44</c:v>
                </c:pt>
                <c:pt idx="4">
                  <c:v>45 - 54</c:v>
                </c:pt>
                <c:pt idx="5">
                  <c:v>55 - 64</c:v>
                </c:pt>
              </c:strCache>
            </c:strRef>
          </c:cat>
          <c:val>
            <c:numRef>
              <c:f>'Churn Analysis'!$M$2:$M$7</c:f>
              <c:numCache>
                <c:formatCode>0%</c:formatCode>
                <c:ptCount val="6"/>
                <c:pt idx="0">
                  <c:v>0.35135135135135137</c:v>
                </c:pt>
                <c:pt idx="1">
                  <c:v>0.32432432432432434</c:v>
                </c:pt>
                <c:pt idx="2">
                  <c:v>0.28985507246376813</c:v>
                </c:pt>
                <c:pt idx="3">
                  <c:v>0.29729729729729731</c:v>
                </c:pt>
                <c:pt idx="4">
                  <c:v>0.3</c:v>
                </c:pt>
                <c:pt idx="5">
                  <c:v>0.3188405797101449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91-4960-B835-E51F58245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707711"/>
        <c:axId val="401702911"/>
      </c:lineChart>
      <c:catAx>
        <c:axId val="41305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051887"/>
        <c:crosses val="autoZero"/>
        <c:auto val="1"/>
        <c:lblAlgn val="ctr"/>
        <c:lblOffset val="100"/>
        <c:noMultiLvlLbl val="0"/>
      </c:catAx>
      <c:valAx>
        <c:axId val="413051887"/>
        <c:scaling>
          <c:orientation val="minMax"/>
          <c:max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054767"/>
        <c:crosses val="autoZero"/>
        <c:crossBetween val="between"/>
      </c:valAx>
      <c:valAx>
        <c:axId val="401702911"/>
        <c:scaling>
          <c:orientation val="minMax"/>
          <c:max val="0.35500000000000004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707711"/>
        <c:crosses val="max"/>
        <c:crossBetween val="between"/>
      </c:valAx>
      <c:catAx>
        <c:axId val="4017077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1702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Skip and Churn Rates Based</a:t>
            </a:r>
            <a:r>
              <a:rPr lang="en-GB" baseline="0"/>
              <a:t> on Number of Songs Listened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'Churn Analysis'!$X$1</c:f>
              <c:strCache>
                <c:ptCount val="1"/>
                <c:pt idx="0">
                  <c:v>Skip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800699912510938E-2"/>
                  <c:y val="-1.6238334791484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2D-485C-BCFE-CE34F7B84FEF}"/>
                </c:ext>
              </c:extLst>
            </c:dLbl>
            <c:dLbl>
              <c:idx val="5"/>
              <c:layout>
                <c:manualLayout>
                  <c:x val="-1.2451443569553806E-2"/>
                  <c:y val="-6.979075532225138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2D-485C-BCFE-CE34F7B84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Analysis'!$W$2:$W$7</c:f>
              <c:strCache>
                <c:ptCount val="6"/>
                <c:pt idx="0">
                  <c:v>Up to 450</c:v>
                </c:pt>
                <c:pt idx="1">
                  <c:v>451 - 475</c:v>
                </c:pt>
                <c:pt idx="2">
                  <c:v>476 - 500</c:v>
                </c:pt>
                <c:pt idx="3">
                  <c:v>501 - 525</c:v>
                </c:pt>
                <c:pt idx="4">
                  <c:v>526 - 550</c:v>
                </c:pt>
                <c:pt idx="5">
                  <c:v>551 - 575</c:v>
                </c:pt>
              </c:strCache>
            </c:strRef>
          </c:cat>
          <c:val>
            <c:numRef>
              <c:f>'Churn Analysis'!$X$2:$X$7</c:f>
              <c:numCache>
                <c:formatCode>0%</c:formatCode>
                <c:ptCount val="6"/>
                <c:pt idx="0">
                  <c:v>0.19285714285714287</c:v>
                </c:pt>
                <c:pt idx="1">
                  <c:v>0.1744444444444444</c:v>
                </c:pt>
                <c:pt idx="2">
                  <c:v>0.17314487632508868</c:v>
                </c:pt>
                <c:pt idx="3">
                  <c:v>0.16554621848739509</c:v>
                </c:pt>
                <c:pt idx="4">
                  <c:v>0.14057971014492746</c:v>
                </c:pt>
                <c:pt idx="5">
                  <c:v>0.18846153846153849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2D-485C-BCFE-CE34F7B84FEF}"/>
            </c:ext>
          </c:extLst>
        </c:ser>
        <c:ser>
          <c:idx val="1"/>
          <c:order val="1"/>
          <c:tx>
            <c:strRef>
              <c:f>'Churn Analysis'!$Z$1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9673665791776055E-2"/>
                  <c:y val="2.08679644211140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2D-485C-BCFE-CE34F7B84FEF}"/>
                </c:ext>
              </c:extLst>
            </c:dLbl>
            <c:dLbl>
              <c:idx val="5"/>
              <c:layout>
                <c:manualLayout>
                  <c:x val="-6.8958880139982498E-3"/>
                  <c:y val="3.012722368037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2D-485C-BCFE-CE34F7B84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Analysis'!$W$2:$W$7</c:f>
              <c:strCache>
                <c:ptCount val="6"/>
                <c:pt idx="0">
                  <c:v>Up to 450</c:v>
                </c:pt>
                <c:pt idx="1">
                  <c:v>451 - 475</c:v>
                </c:pt>
                <c:pt idx="2">
                  <c:v>476 - 500</c:v>
                </c:pt>
                <c:pt idx="3">
                  <c:v>501 - 525</c:v>
                </c:pt>
                <c:pt idx="4">
                  <c:v>526 - 550</c:v>
                </c:pt>
                <c:pt idx="5">
                  <c:v>551 - 575</c:v>
                </c:pt>
              </c:strCache>
            </c:strRef>
          </c:cat>
          <c:val>
            <c:numRef>
              <c:f>'Churn Analysis'!$Z$2:$Z$7</c:f>
              <c:numCache>
                <c:formatCode>0%</c:formatCode>
                <c:ptCount val="6"/>
                <c:pt idx="0">
                  <c:v>0.14285714285714285</c:v>
                </c:pt>
                <c:pt idx="1">
                  <c:v>0.25555555555555554</c:v>
                </c:pt>
                <c:pt idx="2">
                  <c:v>0.28268551236749118</c:v>
                </c:pt>
                <c:pt idx="3">
                  <c:v>0.36134453781512604</c:v>
                </c:pt>
                <c:pt idx="4">
                  <c:v>0.3188405797101449</c:v>
                </c:pt>
                <c:pt idx="5">
                  <c:v>0.15384615384615385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2D-485C-BCFE-CE34F7B84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9518400"/>
        <c:axId val="2039518880"/>
      </c:lineChart>
      <c:catAx>
        <c:axId val="203951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518880"/>
        <c:crosses val="autoZero"/>
        <c:auto val="1"/>
        <c:lblAlgn val="ctr"/>
        <c:lblOffset val="100"/>
        <c:noMultiLvlLbl val="0"/>
      </c:catAx>
      <c:valAx>
        <c:axId val="203951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51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Free Users Skip Rate and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'Churn Analysis'!$AE$1</c:f>
              <c:strCache>
                <c:ptCount val="1"/>
                <c:pt idx="0">
                  <c:v>Skip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8006999125109366E-2"/>
                  <c:y val="1.15394429862933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74-4CA9-BAF7-789046D8EBFF}"/>
                </c:ext>
              </c:extLst>
            </c:dLbl>
            <c:dLbl>
              <c:idx val="4"/>
              <c:layout>
                <c:manualLayout>
                  <c:x val="-1.5229221347331583E-2"/>
                  <c:y val="2.280183727034078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774-4CA9-BAF7-789046D8EB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Analysis'!$AD$3:$AD$7</c:f>
              <c:strCache>
                <c:ptCount val="5"/>
                <c:pt idx="0">
                  <c:v>451 - 475</c:v>
                </c:pt>
                <c:pt idx="1">
                  <c:v>476 - 500</c:v>
                </c:pt>
                <c:pt idx="2">
                  <c:v>501 - 525</c:v>
                </c:pt>
                <c:pt idx="3">
                  <c:v>526 - 550</c:v>
                </c:pt>
                <c:pt idx="4">
                  <c:v>551 - 575</c:v>
                </c:pt>
              </c:strCache>
            </c:strRef>
          </c:cat>
          <c:val>
            <c:numRef>
              <c:f>'Churn Analysis'!$AE$3:$AE$7</c:f>
              <c:numCache>
                <c:formatCode>0%</c:formatCode>
                <c:ptCount val="5"/>
                <c:pt idx="0">
                  <c:v>0.19500000000000001</c:v>
                </c:pt>
                <c:pt idx="1">
                  <c:v>0.18953488372093019</c:v>
                </c:pt>
                <c:pt idx="2">
                  <c:v>0.17285714285714288</c:v>
                </c:pt>
                <c:pt idx="3">
                  <c:v>0.14583333333333334</c:v>
                </c:pt>
                <c:pt idx="4">
                  <c:v>0.22499999999999998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74-4CA9-BAF7-789046D8EBFF}"/>
            </c:ext>
          </c:extLst>
        </c:ser>
        <c:ser>
          <c:idx val="1"/>
          <c:order val="1"/>
          <c:tx>
            <c:strRef>
              <c:f>'Churn Analysis'!$AG$1</c:f>
              <c:strCache>
                <c:ptCount val="1"/>
                <c:pt idx="0">
                  <c:v>Churn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0784776902887134E-2"/>
                  <c:y val="2.349445902595509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74-4CA9-BAF7-789046D8EB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Analysis'!$AD$3:$AD$7</c:f>
              <c:strCache>
                <c:ptCount val="5"/>
                <c:pt idx="0">
                  <c:v>451 - 475</c:v>
                </c:pt>
                <c:pt idx="1">
                  <c:v>476 - 500</c:v>
                </c:pt>
                <c:pt idx="2">
                  <c:v>501 - 525</c:v>
                </c:pt>
                <c:pt idx="3">
                  <c:v>526 - 550</c:v>
                </c:pt>
                <c:pt idx="4">
                  <c:v>551 - 575</c:v>
                </c:pt>
              </c:strCache>
            </c:strRef>
          </c:cat>
          <c:val>
            <c:numRef>
              <c:f>'Churn Analysis'!$AG$3:$AG$7</c:f>
              <c:numCache>
                <c:formatCode>0%</c:formatCode>
                <c:ptCount val="5"/>
                <c:pt idx="0">
                  <c:v>0.1</c:v>
                </c:pt>
                <c:pt idx="1">
                  <c:v>0.23255813953488372</c:v>
                </c:pt>
                <c:pt idx="2">
                  <c:v>0.31428571428571428</c:v>
                </c:pt>
                <c:pt idx="3">
                  <c:v>0.33333333333333331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74-4CA9-BAF7-789046D8E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37871"/>
        <c:axId val="111134991"/>
      </c:lineChart>
      <c:catAx>
        <c:axId val="11113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34991"/>
        <c:crosses val="autoZero"/>
        <c:auto val="1"/>
        <c:lblAlgn val="ctr"/>
        <c:lblOffset val="100"/>
        <c:noMultiLvlLbl val="0"/>
      </c:catAx>
      <c:valAx>
        <c:axId val="11113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37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Churn Rate Vs Satisfaction Score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'Churn Analysis'!$B$1</c:f>
              <c:strCache>
                <c:ptCount val="1"/>
                <c:pt idx="0">
                  <c:v>Churn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'Churn Analysis'!$A$2:$A$6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'Churn Analysis'!$B$2:$B$6</c:f>
              <c:numCache>
                <c:formatCode>0%</c:formatCode>
                <c:ptCount val="5"/>
                <c:pt idx="0">
                  <c:v>0.26027397260273971</c:v>
                </c:pt>
                <c:pt idx="1">
                  <c:v>0.36792452830188677</c:v>
                </c:pt>
                <c:pt idx="2">
                  <c:v>0.24890829694323144</c:v>
                </c:pt>
                <c:pt idx="3">
                  <c:v>0.34210526315789475</c:v>
                </c:pt>
                <c:pt idx="4">
                  <c:v>0.32291666666666669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1B-4249-8BEC-243337510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500783"/>
        <c:axId val="696492623"/>
      </c:scatterChart>
      <c:valAx>
        <c:axId val="696500783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Satisfaction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492623"/>
        <c:crosses val="autoZero"/>
        <c:crossBetween val="midCat"/>
        <c:majorUnit val="1"/>
        <c:minorUnit val="0.2"/>
      </c:valAx>
      <c:valAx>
        <c:axId val="696492623"/>
        <c:scaling>
          <c:orientation val="minMax"/>
          <c:min val="0.24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Churn</a:t>
                </a:r>
                <a:r>
                  <a:rPr lang="en-GB" baseline="0"/>
                  <a:t> Rate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50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57149</xdr:colOff>
      <xdr:row>706</xdr:row>
      <xdr:rowOff>85724</xdr:rowOff>
    </xdr:from>
    <xdr:to>
      <xdr:col>6</xdr:col>
      <xdr:colOff>9524</xdr:colOff>
      <xdr:row>723</xdr:row>
      <xdr:rowOff>147636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338746A-84E0-7560-A4C8-5F51DBC47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10</xdr:row>
      <xdr:rowOff>19050</xdr:rowOff>
    </xdr:from>
    <xdr:to>
      <xdr:col>9</xdr:col>
      <xdr:colOff>213360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071A87-586E-1B8D-CF53-0F72223A2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243840</xdr:colOff>
      <xdr:row>10</xdr:row>
      <xdr:rowOff>3810</xdr:rowOff>
    </xdr:from>
    <xdr:to>
      <xdr:col>16</xdr:col>
      <xdr:colOff>38100</xdr:colOff>
      <xdr:row>25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E42871-C49C-9E1C-B34E-98BFADA3E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581506</xdr:colOff>
      <xdr:row>7</xdr:row>
      <xdr:rowOff>33290</xdr:rowOff>
    </xdr:from>
    <xdr:to>
      <xdr:col>27</xdr:col>
      <xdr:colOff>427720</xdr:colOff>
      <xdr:row>22</xdr:row>
      <xdr:rowOff>33290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AD36DC-1F48-9E9E-6232-2779892BE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53879</xdr:colOff>
      <xdr:row>7</xdr:row>
      <xdr:rowOff>156248</xdr:rowOff>
    </xdr:from>
    <xdr:to>
      <xdr:col>34</xdr:col>
      <xdr:colOff>515697</xdr:colOff>
      <xdr:row>22</xdr:row>
      <xdr:rowOff>128539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B9131C-2504-A1A1-CBE9-DD3161A83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307879</xdr:colOff>
      <xdr:row>36</xdr:row>
      <xdr:rowOff>110067</xdr:rowOff>
    </xdr:from>
    <xdr:to>
      <xdr:col>8</xdr:col>
      <xdr:colOff>323273</xdr:colOff>
      <xdr:row>51</xdr:row>
      <xdr:rowOff>82358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5D5124-81B3-EB65-27B2-5D08D97A4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lan Butterfield 2025 (N1423084)" refreshedDate="45987.653931134257" createdVersion="8" refreshedVersion="8" minRefreshableVersion="3" recordCount="700" xr:uid="{40E88249-694C-4087-B2DE-A716E42C921F}">
  <cacheSource type="worksheet">
    <worksheetSource name="Raw_Data"/>
  </cacheSource>
  <cacheFields count="13">
    <cacheField name="user_id" numFmtId="0">
      <sharedItems count="691">
        <s v="U1201"/>
        <s v="U1257"/>
        <s v="U1558"/>
        <s v="U1693"/>
        <s v="U1486"/>
        <s v="U1345"/>
        <s v="U1203"/>
        <s v="U1641"/>
        <s v="U1569"/>
        <s v="U1694"/>
        <s v="U1225"/>
        <s v="U1369"/>
        <s v="U1637"/>
        <s v="U1592"/>
        <s v="U1548"/>
        <s v="U1272"/>
        <s v="U1026"/>
        <s v="U1636"/>
        <s v="U1552"/>
        <s v="U1155"/>
        <s v="U1657"/>
        <s v="U1436"/>
        <s v="U1309"/>
        <s v="U1215"/>
        <s v="U1600"/>
        <s v="U1141"/>
        <s v="U1000"/>
        <s v="U1085"/>
        <s v="U1661"/>
        <s v="U1042"/>
        <s v="U1579"/>
        <s v="U1075"/>
        <s v="U1439"/>
        <s v="U1076"/>
        <s v="U1499"/>
        <s v="U1521"/>
        <s v="U1344"/>
        <s v="U1622"/>
        <s v="U1475"/>
        <s v="U1678"/>
        <s v="U1400"/>
        <s v="U1167"/>
        <s v="U1586"/>
        <s v="U1515"/>
        <s v="U1527"/>
        <s v="U1288"/>
        <s v="U1002"/>
        <s v="U1036"/>
        <s v="U1126"/>
        <s v="U1666"/>
        <s v="U1528"/>
        <s v="U1407"/>
        <s v="U1396"/>
        <s v="U1011"/>
        <s v="U1498"/>
        <s v="U1322"/>
        <s v="U1186"/>
        <s v="U1047"/>
        <s v="U1460"/>
        <s v="U1559"/>
        <s v="U1135"/>
        <s v="U1574"/>
        <s v="U1668"/>
        <s v="U1648"/>
        <s v="U1304"/>
        <s v="U1649"/>
        <s v="U1027"/>
        <s v="U1534"/>
        <s v="U1342"/>
        <s v="U1097"/>
        <s v="U1308"/>
        <s v="U1408"/>
        <s v="U1679"/>
        <s v="U1005"/>
        <s v="U1262"/>
        <s v="U1367"/>
        <s v="U1229"/>
        <s v="U1454"/>
        <s v="U1523"/>
        <s v="U1041"/>
        <s v="U1432"/>
        <s v="U1577"/>
        <s v="U1561"/>
        <s v="U1357"/>
        <s v="U1251"/>
        <s v="U1567"/>
        <s v="U1078"/>
        <s v="U1372"/>
        <s v="U1470"/>
        <s v="U1412"/>
        <s v="U1240"/>
        <s v="U1130"/>
        <s v="U1536"/>
        <s v="U1315"/>
        <s v="U1581"/>
        <s v="U1123"/>
        <s v="U1334"/>
        <s v="U1631"/>
        <s v="U1159"/>
        <s v="U1329"/>
        <s v="U1300"/>
        <s v="U1473"/>
        <s v="U1214"/>
        <s v="U1325"/>
        <s v="U1070"/>
        <s v="U1488"/>
        <s v="U1618"/>
        <s v="U1368"/>
        <s v="U1673"/>
        <s v="U1213"/>
        <s v="U1133"/>
        <s v="U1015"/>
        <s v="U1522"/>
        <s v="U1073"/>
        <s v="U1326"/>
        <s v="U1491"/>
        <s v="U1697"/>
        <s v="U1068"/>
        <s v="U1137"/>
        <s v="U1553"/>
        <s v=""/>
        <s v="U1118"/>
        <s v="U1635"/>
        <s v="U1687"/>
        <s v="U1446"/>
        <s v="U1054"/>
        <s v="U1277"/>
        <s v="U1495"/>
        <s v="U1148"/>
        <s v="U1025"/>
        <s v="U1562"/>
        <s v="U1220"/>
        <s v="U1391"/>
        <s v="U1212"/>
        <s v="U1264"/>
        <s v="U1142"/>
        <s v="U1013"/>
        <s v="U1376"/>
        <s v="U1671"/>
        <s v="U1684"/>
        <s v="U1108"/>
        <s v="U1401"/>
        <s v="U1245"/>
        <s v="U1038"/>
        <s v="U1444"/>
        <s v="U1511"/>
        <s v="U1062"/>
        <s v="U1417"/>
        <s v="U1429"/>
        <s v="U1016"/>
        <s v="U1128"/>
        <s v="U1045"/>
        <s v="U1014"/>
        <s v="U1084"/>
        <s v="U1596"/>
        <s v="U1394"/>
        <s v="U1386"/>
        <s v="U1090"/>
        <s v="U1625"/>
        <s v="U1149"/>
        <s v="U1696"/>
        <s v="U1287"/>
        <s v="U1505"/>
        <s v="U1193"/>
        <s v="U1035"/>
        <s v="U1115"/>
        <s v="U1453"/>
        <s v="U1457"/>
        <s v="U1196"/>
        <s v="U1200"/>
        <s v="U1107"/>
        <s v="U1231"/>
        <s v="U1316"/>
        <s v="U1362"/>
        <s v="U1615"/>
        <s v="U1119"/>
        <s v="U1319"/>
        <s v="U1676"/>
        <s v="U1591"/>
        <s v="U1211"/>
        <s v="U1690"/>
        <s v="U1060"/>
        <s v="U1131"/>
        <s v="U1463"/>
        <s v="U1312"/>
        <s v="U1638"/>
        <s v="U1510"/>
        <s v="U1403"/>
        <s v="U1506"/>
        <s v="U1604"/>
        <s v="U1526"/>
        <s v="U1328"/>
        <s v="U1250"/>
        <s v="U1091"/>
        <s v="U1677"/>
        <s v="U1243"/>
        <s v="U1324"/>
        <s v="U1079"/>
        <s v="U1686"/>
        <s v="U1102"/>
        <s v="U1162"/>
        <s v="U1140"/>
        <s v="U1680"/>
        <s v="U1007"/>
        <s v="U1402"/>
        <s v="U1249"/>
        <s v="U1033"/>
        <s v="U1269"/>
        <s v="U1106"/>
        <s v="U1340"/>
        <s v="U1216"/>
        <s v="U1530"/>
        <s v="U1082"/>
        <s v="U1399"/>
        <s v="U1031"/>
        <s v="U1318"/>
        <s v="U1655"/>
        <s v="U1662"/>
        <s v="U1384"/>
        <s v="U1285"/>
        <s v="U1614"/>
        <s v="U1458"/>
        <s v="U1289"/>
        <s v="U1493"/>
        <s v="U1064"/>
        <s v="U1109"/>
        <s v="U1434"/>
        <s v="U1582"/>
        <s v="U1152"/>
        <s v="U1563"/>
        <s v="U1643"/>
        <s v="U1101"/>
        <s v="U1313"/>
        <s v="U1425"/>
        <s v="U1099"/>
        <s v="U1602"/>
        <s v="U1699"/>
        <s v="U1012"/>
        <s v="U1477"/>
        <s v="U1170"/>
        <s v="U1129"/>
        <s v="U1545"/>
        <s v="U1639"/>
        <s v="U1492"/>
        <s v="U1594"/>
        <s v="U1698"/>
        <s v="U1525"/>
        <s v="U1692"/>
        <s v="U1166"/>
        <s v="U1199"/>
        <s v="U1398"/>
        <s v="U1516"/>
        <s v="U1468"/>
        <s v="U1058"/>
        <s v="U1656"/>
        <s v="U1519"/>
        <s v="U1451"/>
        <s v="U1456"/>
        <s v="U1339"/>
        <s v="U1270"/>
        <s v="U1136"/>
        <s v="U1238"/>
        <s v="U1681"/>
        <s v="U1616"/>
        <s v="U1247"/>
        <s v="U1335"/>
        <s v="U1539"/>
        <s v="U1176"/>
        <s v="U1169"/>
        <s v="U1282"/>
        <s v="U1621"/>
        <s v="U1455"/>
        <s v="U1332"/>
        <s v="U1330"/>
        <s v="U1683"/>
        <s v="U1485"/>
        <s v="U1086"/>
        <s v="U1500"/>
        <s v="U1588"/>
        <s v="U1298"/>
        <s v="U1509"/>
        <s v="U1281"/>
        <s v="U1314"/>
        <s v="U1266"/>
        <s v="U1385"/>
        <s v="U1583"/>
        <s v="U1507"/>
        <s v="U1370"/>
        <s v="U1533"/>
        <s v="U1244"/>
        <s v="U1261"/>
        <s v="U1413"/>
        <s v="U1307"/>
        <s v="U1320"/>
        <s v="U1632"/>
        <s v="U1566"/>
        <s v="U1055"/>
        <s v="U1361"/>
        <s v="U1571"/>
        <s v="U1390"/>
        <s v="U1205"/>
        <s v="U1580"/>
        <s v="U1048"/>
        <s v="U1609"/>
        <s v="U1161"/>
        <s v="U1555"/>
        <s v="U1236"/>
        <s v="U1063"/>
        <s v="U1352"/>
        <s v="U1009"/>
        <s v="U1059"/>
        <s v="U1659"/>
        <s v="U1154"/>
        <s v="U1072"/>
        <s v="U1502"/>
        <s v="U1252"/>
        <s v="U1556"/>
        <s v="U1651"/>
        <s v="U1168"/>
        <s v="U1080"/>
        <s v="U1189"/>
        <s v="U1030"/>
        <s v="U1366"/>
        <s v="U1599"/>
        <s v="U1483"/>
        <s v="U1178"/>
        <s v="U1028"/>
        <s v="U1630"/>
        <s v="U1195"/>
        <s v="U1338"/>
        <s v="U1187"/>
        <s v="U1474"/>
        <s v="U1447"/>
        <s v="U1568"/>
        <s v="U1605"/>
        <s v="U1422"/>
        <s v="U1442"/>
        <s v="U1501"/>
        <s v="U1550"/>
        <s v="U1056"/>
        <s v="U1235"/>
        <s v="U1341"/>
        <s v="U1121"/>
        <s v="U1265"/>
        <s v="U1650"/>
        <s v="U1024"/>
        <s v="U1557"/>
        <s v="U1292"/>
        <s v="U1069"/>
        <s v="U1023"/>
        <s v="U1397"/>
        <s v="U1587"/>
        <s v="U1405"/>
        <s v="U1642"/>
        <s v="U1301"/>
        <s v="U1469"/>
        <s v="U1256"/>
        <s v="U1433"/>
        <s v="U1590"/>
        <s v="U1551"/>
        <s v="U1077"/>
        <s v="U1132"/>
        <s v="U1617"/>
        <s v="U1057"/>
        <s v="U1351"/>
        <s v="U1297"/>
        <s v="U1185"/>
        <s v="U1207"/>
        <s v="U1490"/>
        <s v="U1355"/>
        <s v="U1113"/>
        <s v="U1151"/>
        <s v="U1646"/>
        <s v="U1098"/>
        <s v="U1565"/>
        <s v="U1088"/>
        <s v="U1685"/>
        <s v="U1654"/>
        <s v="U1549"/>
        <s v="U1074"/>
        <s v="U1147"/>
        <s v="U1116"/>
        <s v="U1597"/>
        <s v="U1019"/>
        <s v="U1653"/>
        <s v="U1227"/>
        <s v="U1310"/>
        <s v="U1514"/>
        <s v="U1232"/>
        <s v="U1358"/>
        <s v="U1409"/>
        <s v="U1333"/>
        <s v="U1160"/>
        <s v="U1691"/>
        <s v="U1209"/>
        <s v="U1449"/>
        <s v="U1466"/>
        <s v="U1564"/>
        <s v="U1644"/>
        <s v="U1165"/>
        <s v="U1071"/>
        <s v="U1652"/>
        <s v="U1260"/>
        <s v="U1363"/>
        <s v="U1688"/>
        <s v="U1424"/>
        <s v="U1542"/>
        <s v="U1105"/>
        <s v="U1125"/>
        <s v="U1435"/>
        <s v="U1040"/>
        <s v="U1459"/>
        <s v="U1283"/>
        <s v="U1175"/>
        <s v="U1476"/>
        <s v="U1541"/>
        <s v="U1138"/>
        <s v="U1658"/>
        <s v="U1612"/>
        <s v="U1415"/>
        <s v="U1484"/>
        <s v="U1379"/>
        <s v="U1018"/>
        <s v="U1029"/>
        <s v="U1197"/>
        <s v="U1006"/>
        <s v="U1294"/>
        <s v="U1393"/>
        <s v="U1504"/>
        <s v="U1440"/>
        <s v="U1144"/>
        <s v="U1210"/>
        <s v="U1589"/>
        <s v="U1291"/>
        <s v="U1354"/>
        <s v="U1191"/>
        <s v="U1675"/>
        <s v="U1004"/>
        <s v="U1633"/>
        <s v="U1606"/>
        <s v="U1302"/>
        <s v="U1512"/>
        <s v="U1620"/>
        <s v="U1020"/>
        <s v="U1531"/>
        <s v="U1349"/>
        <s v="U1540"/>
        <s v="U1204"/>
        <s v="U1595"/>
        <s v="U1217"/>
        <s v="U1157"/>
        <s v="U1529"/>
        <s v="U1421"/>
        <s v="U1083"/>
        <s v="U1669"/>
        <s v="U1208"/>
        <s v="U1276"/>
        <s v="U1124"/>
        <s v="U1127"/>
        <s v="U1535"/>
        <s v="U1163"/>
        <s v="U1689"/>
        <s v="U1626"/>
        <s v="U1347"/>
        <s v="U1306"/>
        <s v="U1241"/>
        <s v="U1311"/>
        <s v="U1336"/>
        <s v="U1156"/>
        <s v="U1392"/>
        <s v="U1664"/>
        <s v="U1471"/>
        <s v="U1670"/>
        <s v="U1172"/>
        <s v="U1487"/>
        <s v="U1623"/>
        <s v="U1246"/>
        <s v="U1182"/>
        <s v="U1389"/>
        <s v="U1585"/>
        <s v="U1365"/>
        <s v="U1461"/>
        <s v="U1450"/>
        <s v="U1508"/>
        <s v="U1190"/>
        <s v="U1375"/>
        <s v="U1472"/>
        <s v="U1067"/>
        <s v="U1278"/>
        <s v="U1263"/>
        <s v="U1224"/>
        <s v="U1198"/>
        <s v="U1173"/>
        <s v="U1481"/>
        <s v="U1452"/>
        <s v="U1427"/>
        <s v="U1271"/>
        <s v="U1017"/>
        <s v="U1431"/>
        <s v="U1430"/>
        <s v="U1629"/>
        <s v="U1267"/>
        <s v="U1268"/>
        <s v="U1343"/>
        <s v="U1299"/>
        <s v="U1179"/>
        <s v="U1293"/>
        <s v="U1546"/>
        <s v="U1377"/>
        <s v="U1610"/>
        <s v="U1371"/>
        <s v="U1061"/>
        <s v="U1480"/>
        <s v="U1628"/>
        <s v="U1598"/>
        <s v="U1682"/>
        <s v="U1280"/>
        <s v="U1323"/>
        <s v="U1095"/>
        <s v="U1066"/>
        <s v="U1388"/>
        <s v="U1181"/>
        <s v="U1221"/>
        <s v="U1279"/>
        <s v="U1234"/>
        <s v="U1146"/>
        <s v="U1360"/>
        <s v="U1438"/>
        <s v="U1258"/>
        <s v="U1395"/>
        <s v="U1448"/>
        <s v="U1560"/>
        <s v="U1321"/>
        <s v="U1467"/>
        <s v="U1337"/>
        <s v="U1619"/>
        <s v="U1194"/>
        <s v="U1253"/>
        <s v="U1524"/>
        <s v="U1111"/>
        <s v="U1381"/>
        <s v="U1305"/>
        <s v="U1660"/>
        <s v="U1153"/>
        <s v="U1143"/>
        <s v="U1437"/>
        <s v="U1645"/>
        <s v="U1290"/>
        <s v="U1497"/>
        <s v="U1554"/>
        <s v="U1202"/>
        <s v="U1122"/>
        <s v="U1611"/>
        <s v="U1426"/>
        <s v="U1273"/>
        <s v="U1406"/>
        <s v="U1087"/>
        <s v="U1667"/>
        <s v="U1603"/>
        <s v="U1378"/>
        <s v="U1584"/>
        <s v="U1404"/>
        <s v="U1373"/>
        <s v="U1065"/>
        <s v="U1226"/>
        <s v="U1479"/>
        <s v="U1532"/>
        <s v="U1034"/>
        <s v="U1465"/>
        <s v="U1089"/>
        <s v="U1350"/>
        <s v="U1112"/>
        <s v="U1049"/>
        <s v="U1601"/>
        <s v="U1572"/>
        <s v="U1192"/>
        <s v="U1348"/>
        <s v="U1255"/>
        <s v="U1110"/>
        <s v="U1223"/>
        <s v="U1032"/>
        <s v="U1663"/>
        <s v="U1520"/>
        <s v="U1353"/>
        <s v="U1537"/>
        <s v="U1419"/>
        <s v="U1228"/>
        <s v="U1100"/>
        <s v="U1608"/>
        <s v="U1275"/>
        <s v="U1464"/>
        <s v="U1219"/>
        <s v="U1383"/>
        <s v="U1003"/>
        <s v="U1665"/>
        <s v="U1248"/>
        <s v="U1188"/>
        <s v="U1259"/>
        <s v="U1428"/>
        <s v="U1295"/>
        <s v="U1053"/>
        <s v="U1139"/>
        <s v="U1624"/>
        <s v="U1242"/>
        <s v="U1494"/>
        <s v="U1021"/>
        <s v="U1230"/>
        <s v="U1184"/>
        <s v="U1022"/>
        <s v="U1478"/>
        <s v="U1411"/>
        <s v="U1303"/>
        <s v="U1543"/>
        <s v="U1503"/>
        <s v="U1613"/>
        <s v="U1174"/>
        <s v="U1640"/>
        <s v="U1218"/>
        <s v="U1418"/>
        <s v="U1039"/>
        <s v="U1177"/>
        <s v="U1286"/>
        <s v="U1171"/>
        <s v="U1274"/>
        <s v="U1634"/>
        <s v="U1296"/>
        <s v="U1380"/>
        <s v="U1387"/>
        <s v="U1420"/>
        <s v="U1092"/>
        <s v="U1695"/>
        <s v="U1576"/>
        <s v="U1117"/>
        <s v="U1674"/>
        <s v="U1164"/>
        <s v="U1237"/>
        <s v="U1046"/>
        <s v="U1364"/>
        <s v="U1573"/>
        <s v="U1489"/>
        <s v="U1044"/>
        <s v="U1547"/>
        <s v="U1382"/>
        <s v="U1180"/>
        <s v="U1145"/>
        <s v="U1317"/>
        <s v="U1206"/>
        <s v="U1445"/>
        <s v="U1150"/>
        <s v="U1570"/>
        <s v="U1327"/>
        <s v="U1356"/>
        <s v="U1538"/>
        <s v="U1096"/>
        <s v="U1104"/>
        <s v="U1359"/>
        <s v="U1627"/>
        <s v="U1410"/>
        <s v="U1441"/>
        <s v="U1482"/>
        <s v="U1513"/>
        <s v="U1081"/>
        <s v="U1001"/>
        <s v="U1183"/>
        <s v="U1575"/>
        <s v="U1672"/>
        <s v="U1050"/>
        <s v="U1443"/>
        <s v="U1518"/>
        <s v="U1114"/>
        <s v="U1158"/>
        <s v="U1052"/>
        <s v="U1010"/>
        <s v="U1094"/>
        <s v="U1051"/>
        <s v="U1462"/>
        <s v="U1496"/>
        <s v="U1374"/>
        <s v="U1423"/>
        <s v="U1134"/>
        <s v="U1593"/>
        <s v="U1416"/>
        <s v="U1254"/>
        <s v="U1414"/>
        <s v="U1331"/>
        <s v="U1093"/>
        <s v="U1233"/>
        <s v="U1544"/>
        <s v="U1346"/>
        <s v="U1120"/>
        <s v="U1008"/>
      </sharedItems>
    </cacheField>
    <cacheField name="country" numFmtId="0">
      <sharedItems count="9">
        <s v="South Africa"/>
        <s v="India"/>
        <s v="Nigeria"/>
        <s v="Ghana"/>
        <s v="Kenya"/>
        <s v="Nepal"/>
        <s v="United Kingdom"/>
        <s v="USA"/>
        <s v="Brazil"/>
      </sharedItems>
    </cacheField>
    <cacheField name="age" numFmtId="0">
      <sharedItems containsSemiMixedTypes="0" containsString="0" containsNumber="1" containsInteger="1" minValue="13" maxValue="64"/>
    </cacheField>
    <cacheField name="gender" numFmtId="0">
      <sharedItems count="4">
        <s v=""/>
        <s v="Female"/>
        <s v="Other"/>
        <s v="Male"/>
      </sharedItems>
    </cacheField>
    <cacheField name="subscription_type" numFmtId="0">
      <sharedItems count="4">
        <s v="Family"/>
        <s v="Free"/>
        <s v="Premium"/>
        <s v="Student"/>
      </sharedItems>
    </cacheField>
    <cacheField name="avg_listening_hours_per_week" numFmtId="0">
      <sharedItems containsSemiMixedTypes="0" containsString="0" containsNumber="1" minValue="0.1" maxValue="23.7"/>
    </cacheField>
    <cacheField name="total_songs_played" numFmtId="0">
      <sharedItems containsSemiMixedTypes="0" containsString="0" containsNumber="1" containsInteger="1" minValue="440" maxValue="571"/>
    </cacheField>
    <cacheField name="skip_rate" numFmtId="0">
      <sharedItems containsSemiMixedTypes="0" containsString="0" containsNumber="1" minValue="0.05" maxValue="0.3"/>
    </cacheField>
    <cacheField name="satisfaction_score" numFmtId="0">
      <sharedItems containsString="0" containsBlank="1" containsNumber="1" containsInteger="1" minValue="1" maxValue="5"/>
    </cacheField>
    <cacheField name="churned" numFmtId="0">
      <sharedItems containsSemiMixedTypes="0" containsString="0" containsNumber="1" containsInteger="1" minValue="0" maxValue="1"/>
    </cacheField>
    <cacheField name="monthly_fee" numFmtId="0">
      <sharedItems containsString="0" containsBlank="1" containsNumber="1" minValue="0" maxValue="12.99"/>
    </cacheField>
    <cacheField name="join_date" numFmtId="0">
      <sharedItems count="567">
        <s v="08/08/2023"/>
        <s v="03/30/2024"/>
        <s v="07/01/2023"/>
        <s v="09/08/2024"/>
        <s v="14/09/2023"/>
        <s v="28/03/2024"/>
        <s v="12/08/2023"/>
        <s v="08/12/2022"/>
        <s v="16/06/2023"/>
        <s v="27/07/2024"/>
        <s v="27/06/2022"/>
        <s v="04/23/2022"/>
        <s v="11/05/2022"/>
        <s v="09/10/2022"/>
        <s v="03/20/2024"/>
        <s v="05/26/2022"/>
        <s v="08/04/2024"/>
        <s v="07/07/2024"/>
        <s v="12/30/2022"/>
        <s v="07/03/2024"/>
        <s v="28/07/2022"/>
        <s v="14/05/2024"/>
        <s v="09/04/2023"/>
        <s v="27/08/2024"/>
        <s v="02/07/2024"/>
        <s v="31/05/2023"/>
        <s v="25/02/2023"/>
        <s v="10/07/2023"/>
        <s v="24/05/2024"/>
        <s v="05/06/2023"/>
        <s v="23/05/2022"/>
        <s v="08/03/2022"/>
        <s v="16/11/2022"/>
        <s v="15/02/2023"/>
        <s v="05/30/2024"/>
        <s v="09/03/2023"/>
        <s v="15/06/2024"/>
        <s v="03/12/2024"/>
        <s v="01/04/2022"/>
        <s v="01/06/2022"/>
        <s v="20/10/2023"/>
        <s v="03/19/2022"/>
        <s v="09/14/2022"/>
        <s v="18/06/2022"/>
        <s v="29/01/2023"/>
        <s v="07/10/2024"/>
        <s v="14/03/2022"/>
        <s v="22/05/2023"/>
        <s v="10/12/2022"/>
        <s v="03/11/2022"/>
        <s v="11/06/2022"/>
        <s v="07/02/2024"/>
        <s v="10/02/2023"/>
        <s v="02/10/2023"/>
        <s v="04/25/2023"/>
        <s v="21/08/2024"/>
        <s v="02/01/2024"/>
        <s v="08/16/2023"/>
        <s v="16/12/2022"/>
        <s v="13/03/2022"/>
        <s v="09/17/2023"/>
        <s v="06/01/2022"/>
        <s v="02/03/2024"/>
        <s v="10/06/2024"/>
        <s v="09/09/2023"/>
        <s v="08/30/2023"/>
        <s v="25/11/2022"/>
        <s v="12/24/2022"/>
        <s v="09/22/2023"/>
        <s v="04/12/2024"/>
        <s v="06/06/2022"/>
        <s v="21/10/2023"/>
        <s v="24/10/2023"/>
        <s v="04/08/2022"/>
        <s v="09/09/2022"/>
        <s v="16/01/2022"/>
        <s v="24/11/2023"/>
        <s v="11/12/2022"/>
        <s v="29/01/2022"/>
        <s v="05/18/2023"/>
        <s v="24/12/2022"/>
        <s v="22/03/2022"/>
        <s v="15/12/2022"/>
        <s v="28/07/2023"/>
        <s v="30/10/2023"/>
        <s v="01/02/2024"/>
        <s v="10/24/2022"/>
        <s v="13/10/2022"/>
        <s v="06/13/2024"/>
        <s v="06/22/2023"/>
        <s v="15/12/2023"/>
        <s v="06/01/2023"/>
        <s v="04/19/2023"/>
        <s v="05/05/2022"/>
        <s v="01/31/2023"/>
        <s v="15/05/2023"/>
        <s v="11/29/2023"/>
        <s v="16/10/2022"/>
        <s v="17/01/2022"/>
        <s v="07/29/2023"/>
        <s v="01/08/2024"/>
        <s v="23/03/2023"/>
        <s v="09/24/2022"/>
        <s v="05/21/2024"/>
        <s v="23/04/2023"/>
        <s v="05/08/2023"/>
        <s v="20/05/2023"/>
        <s v="11/24/2023"/>
        <s v="06/04/2023"/>
        <s v="23/06/2023"/>
        <s v="11/19/2023"/>
        <s v="04/21/2024"/>
        <s v="06/28/2022"/>
        <s v="17/08/2022"/>
        <s v="04/02/2022"/>
        <s v="10/11/2023"/>
        <s v="05/11/2023"/>
        <s v="30/12/2023"/>
        <s v="07/09/2023"/>
        <s v="01/01/2024"/>
        <s v="28/04/2023"/>
        <s v="16/11/2023"/>
        <s v="27/03/2024"/>
        <s v="07/04/2022"/>
        <s v="06/30/2024"/>
        <s v="05/10/2022"/>
        <s v="02/10/2022"/>
        <s v="20/06/2023"/>
        <s v="05/02/2022"/>
        <s v="07/16/2022"/>
        <s v="10/03/2022"/>
        <s v="11/02/2022"/>
        <s v="02/21/2023"/>
        <s v="28/03/2023"/>
        <s v="19/12/2023"/>
        <s v="01/31/2024"/>
        <s v="15/01/2022"/>
        <s v="08/01/2024"/>
        <s v="02/23/2023"/>
        <s v="10/06/2022"/>
        <s v="08/02/2023"/>
        <s v="30/06/2024"/>
        <s v="24/04/2023"/>
        <s v="31/01/2022"/>
        <s v="02/12/2024"/>
        <s v="01/22/2024"/>
        <s v="06/24/2023"/>
        <s v="16/03/2024"/>
        <s v="06/29/2024"/>
        <s v="27/03/2022"/>
        <s v="04/18/2023"/>
        <s v="04/29/2022"/>
        <s v="09/26/2022"/>
        <s v="25/06/2023"/>
        <s v="12/15/2022"/>
        <s v="07/03/2023"/>
        <s v="01/03/2022"/>
        <s v="02/03/2023"/>
        <s v="17/05/2024"/>
        <s v="02/20/2023"/>
        <s v="06/05/2022"/>
        <s v="07/09/2022"/>
        <s v="29/11/2023"/>
        <s v="20/09/2022"/>
        <s v="01/11/2023"/>
        <s v="12/08/2024"/>
        <s v="17/08/2024"/>
        <s v="24/12/2023"/>
        <s v="14/04/2023"/>
        <s v="12/30/2023"/>
        <s v="08/19/2022"/>
        <s v="15/06/2023"/>
        <s v="03/21/2024"/>
        <s v="07/25/2023"/>
        <s v="21/10/2022"/>
        <s v="11/23/2023"/>
        <s v="31/01/2023"/>
        <s v="12/12/2022"/>
        <s v="03/01/2022"/>
        <s v="05/04/2024"/>
        <s v="09/23/2023"/>
        <s v="04/24/2023"/>
        <s v="04/10/2023"/>
        <s v="03/29/2023"/>
        <s v="11/05/2023"/>
        <s v="05/01/2024"/>
        <s v="07/31/2023"/>
        <s v="27/05/2023"/>
        <s v="05/02/2024"/>
        <s v="03/13/2024"/>
        <s v="07/31/2022"/>
        <s v="31/01/2024"/>
        <s v="05/11/2022"/>
        <s v="22/04/2022"/>
        <s v="13/12/2022"/>
        <s v="07/08/2024"/>
        <s v="14/06/2023"/>
        <s v="04/18/2024"/>
        <s v="15/05/2024"/>
        <s v="16/07/2024"/>
        <s v="07/15/2023"/>
        <s v="26/06/2022"/>
        <s v="05/13/2022"/>
        <s v="21/01/2024"/>
        <s v="29/03/2024"/>
        <s v="19/06/2024"/>
        <s v="11/26/2022"/>
        <s v="12/08/2022"/>
        <s v="07/11/2022"/>
        <s v="17/12/2022"/>
        <s v="07/21/2024"/>
        <s v="04/28/2022"/>
        <s v="11/24/2022"/>
        <s v="24/01/2024"/>
        <s v="09/19/2022"/>
        <s v="11/11/2022"/>
        <s v="27/04/2024"/>
        <s v="09/01/2022"/>
        <s v="04/14/2022"/>
        <s v="11/09/2022"/>
        <s v="13/07/2024"/>
        <s v="10/27/2022"/>
        <s v="05/12/2022"/>
        <s v="04/10/2022"/>
        <s v="11/22/2023"/>
        <s v="22/04/2023"/>
        <s v="26/06/2023"/>
        <s v="03/16/2023"/>
        <s v="09/27/2022"/>
        <s v="12/18/2023"/>
        <s v="12/01/2023"/>
        <s v="02/06/2023"/>
        <s v="30/06/2023"/>
        <s v="07/14/2024"/>
        <s v="07/30/2022"/>
        <s v="03/04/2023"/>
        <s v="08/15/2022"/>
        <s v="20/07/2023"/>
        <s v="03/20/2022"/>
        <s v="23/08/2022"/>
        <s v="11/08/2022"/>
        <s v="02/05/2023"/>
        <s v="25/01/2022"/>
        <s v="07/02/2023"/>
        <s v="23/05/2023"/>
        <s v="08/22/2022"/>
        <s v="03/18/2023"/>
        <s v="11/18/2023"/>
        <s v="04/13/2023"/>
        <s v="30/01/2022"/>
        <s v="28/10/2022"/>
        <s v="01/09/2023"/>
        <s v="08/12/2023"/>
        <s v="05/27/2022"/>
        <s v="05/07/2022"/>
        <s v="07/04/2023"/>
        <s v="30/12/2022"/>
        <s v="23/03/2024"/>
        <s v="07/12/2022"/>
        <s v="15/11/2023"/>
        <s v="20/09/2023"/>
        <s v="19/08/2024"/>
        <s v="06/04/2022"/>
        <s v="02/23/2022"/>
        <s v="12/02/2022"/>
        <s v="09/21/2022"/>
        <s v="01/22/2022"/>
        <s v="08/05/2022"/>
        <s v="05/01/2022"/>
        <s v="26/05/2024"/>
        <s v="03/28/2022"/>
        <s v="03/05/2024"/>
        <s v="06/05/2024"/>
        <s v="04/12/2023"/>
        <s v="10/20/2022"/>
        <s v="17/07/2022"/>
        <s v="04/23/2024"/>
        <s v="25/04/2022"/>
        <s v="09/03/2022"/>
        <s v="12/18/2022"/>
        <s v="03/03/2024"/>
        <s v="05/20/2022"/>
        <s v="09/03/2024"/>
        <s v="01/09/2022"/>
        <s v="11/27/2023"/>
        <s v="04/25/2022"/>
        <s v="18/12/2023"/>
        <s v="04/01/2023"/>
        <s v="19/04/2024"/>
        <s v="12/10/2022"/>
        <s v="17/05/2023"/>
        <s v="16/10/2023"/>
        <s v="10/30/2023"/>
        <s v="11/10/2023"/>
        <s v="02/09/2022"/>
        <s v="23/11/2022"/>
        <s v="10/01/2022"/>
        <s v="04/05/2022"/>
        <s v="10/13/2022"/>
        <s v="18/04/2024"/>
        <s v="15/01/2023"/>
        <s v="07/18/2023"/>
        <s v="13/11/2022"/>
        <s v="02/01/2023"/>
        <s v="02/01/2022"/>
        <s v="03/26/2023"/>
        <s v="31/08/2024"/>
        <s v="04/01/2022"/>
        <s v="18/01/2022"/>
        <s v="11/02/2023"/>
        <s v="07/02/2022"/>
        <s v="05/15/2022"/>
        <s v="21/05/2023"/>
        <s v="28/07/2024"/>
        <s v="25/06/2022"/>
        <s v="15/04/2022"/>
        <s v="06/10/2023"/>
        <s v="12/09/2023"/>
        <s v="06/06/2024"/>
        <s v="07/18/2022"/>
        <s v="08/10/2023"/>
        <s v="13/11/2023"/>
        <s v="01/12/2022"/>
        <s v="02/04/2022"/>
        <s v="11/01/2024"/>
        <s v="25/03/2022"/>
        <s v="18/10/2022"/>
        <s v="12/26/2023"/>
        <s v="07/01/2024"/>
        <s v="29/04/2023"/>
        <s v="19/02/2024"/>
        <s v="24/11/2022"/>
        <s v="28/05/2022"/>
        <s v="13/02/2023"/>
        <s v="23/01/2022"/>
        <s v="08/05/2023"/>
        <s v="07/21/2022"/>
        <s v="07/23/2023"/>
        <s v="03/15/2024"/>
        <s v="09/30/2022"/>
        <s v="09/06/2023"/>
        <s v="03/16/2022"/>
        <s v="07/13/2024"/>
        <s v="25/06/2024"/>
        <s v="02/25/2023"/>
        <s v="17/07/2023"/>
        <s v="25/07/2024"/>
        <s v="23/02/2022"/>
        <s v="11/10/2022"/>
        <s v="01/26/2022"/>
        <s v="11/04/2024"/>
        <s v="23/06/2022"/>
        <s v="17/04/2023"/>
        <s v="09/12/2022"/>
        <s v="02/18/2022"/>
        <s v="26/12/2022"/>
        <s v="02/06/2024"/>
        <s v="24/02/2023"/>
        <s v="01/19/2023"/>
        <s v="30/07/2022"/>
        <s v="03/06/2024"/>
        <s v="11/23/2022"/>
        <s v="14/10/2022"/>
        <s v="12/22/2023"/>
        <s v="02/13/2023"/>
        <s v="01/27/2022"/>
        <s v="04/02/2024"/>
        <s v="19/11/2022"/>
        <s v="08/21/2023"/>
        <s v="23/09/2022"/>
        <s v="12/07/2023"/>
        <s v="08/09/2022"/>
        <s v="31/05/2024"/>
        <s v="04/03/2024"/>
        <s v="26/04/2024"/>
        <s v="14/04/2022"/>
        <s v="02/16/2023"/>
        <s v="23/08/2023"/>
        <s v="08/20/2024"/>
        <s v="11/07/2022"/>
        <s v="10/10/2022"/>
        <s v="21/07/2024"/>
        <s v="04/18/2022"/>
        <s v="07/08/2023"/>
        <s v="19/01/2024"/>
        <s v="05/10/2024"/>
        <s v="03/01/2023"/>
        <s v="02/14/2023"/>
        <s v="01/05/2023"/>
        <s v="28/05/2024"/>
        <s v="08/14/2024"/>
        <s v="17/06/2023"/>
        <s v="05/22/2023"/>
        <s v="14/07/2023"/>
        <s v="02/29/2024"/>
        <s v="16/06/2022"/>
        <s v="14/11/2022"/>
        <s v="12/19/2022"/>
        <s v="03/10/2023"/>
        <s v="09/28/2022"/>
        <s v="08/04/2022"/>
        <s v="28/02/2022"/>
        <s v="03/02/2023"/>
        <s v="08/27/2024"/>
        <s v="24/02/2022"/>
        <s v="27/09/2022"/>
        <s v="01/08/2023"/>
        <s v="07/15/2022"/>
        <s v="01/13/2024"/>
        <s v="02/08/2023"/>
        <s v="26/01/2023"/>
        <s v="08/07/2024"/>
        <s v="22/06/2024"/>
        <s v="09/18/2022"/>
        <s v="22/07/2022"/>
        <s v="02/02/2022"/>
        <s v="07/27/2024"/>
        <s v="05/29/2022"/>
        <s v="01/29/2024"/>
        <s v="01/23/2022"/>
        <s v="29/10/2023"/>
        <s v="11/19/2022"/>
        <s v="29/09/2022"/>
        <s v="03/23/2023"/>
        <s v="31/03/2023"/>
        <s v="02/09/2023"/>
        <s v="01/10/2022"/>
        <s v="23/02/2024"/>
        <s v="04/06/2022"/>
        <s v="09/05/2023"/>
        <s v="30/08/2024"/>
        <s v="11/06/2023"/>
        <s v="08/29/2023"/>
        <s v="07/22/2023"/>
        <s v="21/06/2024"/>
        <s v="05/28/2024"/>
        <s v="08/11/2022"/>
        <s v="25/03/2024"/>
        <s v="17/07/2024"/>
        <s v="14/08/2024"/>
        <s v="12/15/2023"/>
        <s v="14/01/2023"/>
        <s v="09/30/2023"/>
        <s v="21/07/2022"/>
        <s v="08/14/2023"/>
        <s v="07/17/2022"/>
        <s v="06/02/2023"/>
        <s v="22/02/2023"/>
        <s v="11/03/2022"/>
        <s v="06/27/2023"/>
        <s v="13/10/2023"/>
        <s v="31/10/2022"/>
        <s v="08/01/2023"/>
        <s v="16/02/2024"/>
        <s v="17/03/2024"/>
        <s v="03/03/2022"/>
        <s v="29/07/2023"/>
        <s v="03/12/2022"/>
        <s v="22/03/2023"/>
        <s v="23/10/2022"/>
        <s v="25/10/2023"/>
        <s v="18/09/2022"/>
        <s v="19/05/2024"/>
        <s v="01/05/2024"/>
        <s v="15/09/2022"/>
        <s v="01/27/2024"/>
        <s v="20/08/2022"/>
        <s v="05/10/2023"/>
        <s v="05/12/2023"/>
        <s v="06/11/2023"/>
        <s v="13/05/2022"/>
        <s v="26/09/2022"/>
        <s v="26/02/2023"/>
        <s v="06/03/2024"/>
        <s v="01/21/2024"/>
        <s v="07/21/2023"/>
        <s v="16/02/2022"/>
        <s v="12/05/2023"/>
        <s v="01/01/2022"/>
        <s v="05/20/2023"/>
        <s v="15/07/2022"/>
        <s v="16/04/2023"/>
        <s v="19/02/2022"/>
        <s v="13/02/2024"/>
        <s v="13/04/2022"/>
        <s v="23/10/2023"/>
        <s v="08/21/2022"/>
        <s v="02/11/2022"/>
        <s v="13/12/2023"/>
        <s v="10/03/2023"/>
        <s v="22/11/2023"/>
        <s v="13/04/2023"/>
        <s v="11/08/2023"/>
        <s v="04/02/2023"/>
        <s v="25/12/2023"/>
        <s v="16/01/2023"/>
        <s v="06/11/2024"/>
        <s v="20/06/2022"/>
        <s v="04/06/2023"/>
        <s v="02/21/2024"/>
        <s v="03/23/2022"/>
        <s v="17/11/2023"/>
        <s v="11/01/2022"/>
        <s v="11/30/2023"/>
        <s v="02/22/2023"/>
        <s v="09/14/2023"/>
        <s v="09/06/2022"/>
        <s v="06/14/2023"/>
        <s v="16/06/2024"/>
        <s v="21/06/2022"/>
        <s v="12/16/2023"/>
        <s v="04/04/2024"/>
        <s v="07/24/2024"/>
        <s v="12/07/2022"/>
        <s v="08/07/2022"/>
        <s v="10/28/2023"/>
        <s v="15/08/2023"/>
        <s v="20/04/2022"/>
        <s v="06/09/2024"/>
        <s v="01/06/2023"/>
        <s v="15/03/2022"/>
        <s v="12/21/2022"/>
        <s v="03/17/2022"/>
        <s v="14/06/2024"/>
        <s v="03/14/2023"/>
        <s v="12/25/2023"/>
        <s v="16/05/2024"/>
        <s v="05/02/2023"/>
        <s v="02/06/2022"/>
        <s v="08/30/2022"/>
        <s v="12/22/2022"/>
        <s v="12/10/2023"/>
        <s v="03/07/2022"/>
        <s v="29/06/2022"/>
        <s v="12/11/2022"/>
        <s v="10/08/2022"/>
        <s v="04/11/2023"/>
        <s v="01/15/2022"/>
        <s v="25/09/2022"/>
        <s v="02/04/2024"/>
        <s v="12/09/2022"/>
        <s v="03/22/2022"/>
        <s v="04/03/2022"/>
        <s v="04/03/2023"/>
        <s v="11/04/2022"/>
        <s v="06/21/2023"/>
        <s v="02/25/2022"/>
        <s v="25/08/2023"/>
        <s v="25/09/2023"/>
        <s v="06/14/2024"/>
        <s v="01/03/2023"/>
        <s v="05/24/2022"/>
        <s v="09/05/2022"/>
        <s v="28/12/2023"/>
        <s v="08/17/2024"/>
        <s v="01/18/2022"/>
        <s v="03/24/2022"/>
        <s v="04/11/2022"/>
        <s v="09/23/2022"/>
        <s v="14/06/2022"/>
        <s v="04/17/2023"/>
        <s v="03/14/2022"/>
        <s v="03/04/2024"/>
        <s v="07/16/2024"/>
        <s v="20/08/2024"/>
        <s v="03/05/2022"/>
        <s v="02/15/2023"/>
      </sharedItems>
    </cacheField>
    <cacheField name="join_date_UK" numFmtId="14">
      <sharedItems containsSemiMixedTypes="0" containsNonDate="0" containsDate="1" containsString="0" minDate="2022-01-01T00:00:00" maxDate="2024-12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n v="41"/>
    <x v="0"/>
    <x v="0"/>
    <n v="3"/>
    <n v="529"/>
    <n v="0.2"/>
    <m/>
    <n v="0"/>
    <n v="7.99"/>
    <x v="0"/>
    <d v="2023-08-08T00:00:00"/>
  </r>
  <r>
    <x v="1"/>
    <x v="1"/>
    <n v="15"/>
    <x v="0"/>
    <x v="0"/>
    <n v="0.3"/>
    <n v="503"/>
    <n v="0.3"/>
    <m/>
    <n v="0"/>
    <m/>
    <x v="1"/>
    <d v="2024-03-30T00:00:00"/>
  </r>
  <r>
    <x v="2"/>
    <x v="2"/>
    <n v="49"/>
    <x v="1"/>
    <x v="0"/>
    <n v="5.6"/>
    <n v="497"/>
    <n v="0.15"/>
    <m/>
    <n v="1"/>
    <n v="7.99"/>
    <x v="2"/>
    <d v="2023-07-01T00:00:00"/>
  </r>
  <r>
    <x v="3"/>
    <x v="3"/>
    <n v="49"/>
    <x v="1"/>
    <x v="0"/>
    <n v="8.8000000000000007"/>
    <n v="509"/>
    <n v="0.1"/>
    <m/>
    <n v="1"/>
    <n v="9.99"/>
    <x v="3"/>
    <d v="2024-09-08T00:00:00"/>
  </r>
  <r>
    <x v="4"/>
    <x v="4"/>
    <n v="25"/>
    <x v="2"/>
    <x v="0"/>
    <n v="6.3"/>
    <n v="498"/>
    <n v="0.3"/>
    <m/>
    <n v="1"/>
    <n v="12.99"/>
    <x v="4"/>
    <d v="2023-09-14T00:00:00"/>
  </r>
  <r>
    <x v="5"/>
    <x v="5"/>
    <n v="27"/>
    <x v="3"/>
    <x v="0"/>
    <n v="6.2"/>
    <n v="511"/>
    <n v="0.2"/>
    <m/>
    <n v="1"/>
    <m/>
    <x v="5"/>
    <d v="2024-03-28T00:00:00"/>
  </r>
  <r>
    <x v="6"/>
    <x v="5"/>
    <n v="62"/>
    <x v="0"/>
    <x v="0"/>
    <n v="17.2"/>
    <n v="508"/>
    <n v="0.1"/>
    <m/>
    <n v="1"/>
    <n v="9.99"/>
    <x v="6"/>
    <d v="2023-12-08T00:00:00"/>
  </r>
  <r>
    <x v="7"/>
    <x v="6"/>
    <n v="62"/>
    <x v="1"/>
    <x v="0"/>
    <n v="5.6"/>
    <n v="484"/>
    <n v="0.2"/>
    <m/>
    <n v="0"/>
    <n v="9.99"/>
    <x v="7"/>
    <d v="2022-08-12T00:00:00"/>
  </r>
  <r>
    <x v="8"/>
    <x v="1"/>
    <n v="59"/>
    <x v="3"/>
    <x v="0"/>
    <n v="13.8"/>
    <n v="492"/>
    <n v="0.05"/>
    <m/>
    <n v="0"/>
    <n v="5"/>
    <x v="8"/>
    <d v="2023-06-16T00:00:00"/>
  </r>
  <r>
    <x v="9"/>
    <x v="7"/>
    <n v="33"/>
    <x v="1"/>
    <x v="0"/>
    <n v="14.8"/>
    <n v="488"/>
    <n v="0.3"/>
    <m/>
    <n v="0"/>
    <n v="9.99"/>
    <x v="9"/>
    <d v="2024-07-27T00:00:00"/>
  </r>
  <r>
    <x v="10"/>
    <x v="5"/>
    <n v="39"/>
    <x v="3"/>
    <x v="0"/>
    <n v="8.5"/>
    <n v="486"/>
    <n v="0.15"/>
    <m/>
    <n v="1"/>
    <m/>
    <x v="10"/>
    <d v="2022-06-27T00:00:00"/>
  </r>
  <r>
    <x v="11"/>
    <x v="3"/>
    <n v="48"/>
    <x v="2"/>
    <x v="0"/>
    <n v="9"/>
    <n v="477"/>
    <n v="0.1"/>
    <m/>
    <n v="0"/>
    <m/>
    <x v="11"/>
    <d v="2022-04-23T00:00:00"/>
  </r>
  <r>
    <x v="12"/>
    <x v="6"/>
    <n v="13"/>
    <x v="3"/>
    <x v="0"/>
    <n v="11.3"/>
    <n v="493"/>
    <n v="0.2"/>
    <m/>
    <n v="0"/>
    <n v="5"/>
    <x v="12"/>
    <d v="2022-11-05T00:00:00"/>
  </r>
  <r>
    <x v="13"/>
    <x v="7"/>
    <n v="36"/>
    <x v="3"/>
    <x v="1"/>
    <n v="0.9"/>
    <n v="509"/>
    <n v="0.3"/>
    <m/>
    <n v="0"/>
    <n v="0"/>
    <x v="13"/>
    <d v="2022-09-10T00:00:00"/>
  </r>
  <r>
    <x v="14"/>
    <x v="2"/>
    <n v="63"/>
    <x v="2"/>
    <x v="1"/>
    <n v="13.9"/>
    <n v="467"/>
    <n v="0.15"/>
    <m/>
    <n v="0"/>
    <n v="0"/>
    <x v="14"/>
    <d v="2024-03-20T00:00:00"/>
  </r>
  <r>
    <x v="15"/>
    <x v="6"/>
    <n v="22"/>
    <x v="1"/>
    <x v="1"/>
    <n v="4.4000000000000004"/>
    <n v="499"/>
    <n v="0.2"/>
    <m/>
    <n v="0"/>
    <n v="0"/>
    <x v="15"/>
    <d v="2022-05-26T00:00:00"/>
  </r>
  <r>
    <x v="16"/>
    <x v="6"/>
    <n v="23"/>
    <x v="1"/>
    <x v="1"/>
    <n v="7.5"/>
    <n v="497"/>
    <n v="0.25"/>
    <m/>
    <n v="0"/>
    <n v="0"/>
    <x v="16"/>
    <d v="2024-08-04T00:00:00"/>
  </r>
  <r>
    <x v="17"/>
    <x v="1"/>
    <n v="30"/>
    <x v="0"/>
    <x v="1"/>
    <n v="17.899999999999999"/>
    <n v="496"/>
    <n v="0.2"/>
    <m/>
    <n v="0"/>
    <n v="0"/>
    <x v="17"/>
    <d v="2024-07-07T00:00:00"/>
  </r>
  <r>
    <x v="18"/>
    <x v="6"/>
    <n v="53"/>
    <x v="2"/>
    <x v="1"/>
    <n v="10.7"/>
    <n v="510"/>
    <n v="0.2"/>
    <m/>
    <n v="0"/>
    <n v="0"/>
    <x v="18"/>
    <d v="2022-12-30T00:00:00"/>
  </r>
  <r>
    <x v="19"/>
    <x v="1"/>
    <n v="39"/>
    <x v="1"/>
    <x v="2"/>
    <n v="0.3"/>
    <n v="510"/>
    <n v="0.1"/>
    <m/>
    <n v="1"/>
    <n v="9.99"/>
    <x v="19"/>
    <d v="2024-07-03T00:00:00"/>
  </r>
  <r>
    <x v="20"/>
    <x v="1"/>
    <n v="22"/>
    <x v="3"/>
    <x v="2"/>
    <n v="3.6"/>
    <n v="486"/>
    <n v="0.1"/>
    <m/>
    <n v="1"/>
    <m/>
    <x v="20"/>
    <d v="2022-07-28T00:00:00"/>
  </r>
  <r>
    <x v="21"/>
    <x v="1"/>
    <n v="26"/>
    <x v="1"/>
    <x v="2"/>
    <n v="16.899999999999999"/>
    <n v="490"/>
    <n v="0.1"/>
    <m/>
    <n v="0"/>
    <n v="9.99"/>
    <x v="21"/>
    <d v="2024-05-14T00:00:00"/>
  </r>
  <r>
    <x v="22"/>
    <x v="8"/>
    <n v="18"/>
    <x v="1"/>
    <x v="2"/>
    <n v="12.8"/>
    <n v="476"/>
    <n v="0.3"/>
    <m/>
    <n v="1"/>
    <n v="9.99"/>
    <x v="22"/>
    <d v="2023-09-04T00:00:00"/>
  </r>
  <r>
    <x v="23"/>
    <x v="6"/>
    <n v="17"/>
    <x v="3"/>
    <x v="2"/>
    <n v="11.7"/>
    <n v="495"/>
    <n v="0.1"/>
    <m/>
    <n v="1"/>
    <n v="9.99"/>
    <x v="23"/>
    <d v="2024-08-27T00:00:00"/>
  </r>
  <r>
    <x v="24"/>
    <x v="6"/>
    <n v="41"/>
    <x v="1"/>
    <x v="2"/>
    <n v="8.6999999999999993"/>
    <n v="483"/>
    <n v="0.05"/>
    <m/>
    <n v="0"/>
    <n v="9.99"/>
    <x v="24"/>
    <d v="2024-02-07T00:00:00"/>
  </r>
  <r>
    <x v="25"/>
    <x v="6"/>
    <n v="33"/>
    <x v="3"/>
    <x v="2"/>
    <n v="16.100000000000001"/>
    <n v="505"/>
    <n v="0.05"/>
    <m/>
    <n v="1"/>
    <n v="7.99"/>
    <x v="25"/>
    <d v="2023-05-31T00:00:00"/>
  </r>
  <r>
    <x v="26"/>
    <x v="4"/>
    <n v="18"/>
    <x v="3"/>
    <x v="2"/>
    <n v="6.3"/>
    <n v="485"/>
    <n v="0.05"/>
    <m/>
    <n v="0"/>
    <n v="7.99"/>
    <x v="26"/>
    <d v="2023-02-25T00:00:00"/>
  </r>
  <r>
    <x v="27"/>
    <x v="4"/>
    <n v="45"/>
    <x v="3"/>
    <x v="2"/>
    <n v="6"/>
    <n v="487"/>
    <n v="0.3"/>
    <m/>
    <n v="0"/>
    <n v="7.99"/>
    <x v="27"/>
    <d v="2023-10-07T00:00:00"/>
  </r>
  <r>
    <x v="28"/>
    <x v="0"/>
    <n v="45"/>
    <x v="3"/>
    <x v="2"/>
    <n v="11.2"/>
    <n v="512"/>
    <n v="0.05"/>
    <m/>
    <n v="0"/>
    <n v="5"/>
    <x v="28"/>
    <d v="2024-05-24T00:00:00"/>
  </r>
  <r>
    <x v="29"/>
    <x v="3"/>
    <n v="40"/>
    <x v="3"/>
    <x v="2"/>
    <n v="8.1"/>
    <n v="484"/>
    <n v="0.2"/>
    <m/>
    <n v="0"/>
    <n v="7.99"/>
    <x v="29"/>
    <d v="2023-05-06T00:00:00"/>
  </r>
  <r>
    <x v="30"/>
    <x v="1"/>
    <n v="38"/>
    <x v="1"/>
    <x v="2"/>
    <n v="13.7"/>
    <n v="525"/>
    <n v="0.15"/>
    <m/>
    <n v="0"/>
    <n v="7.99"/>
    <x v="30"/>
    <d v="2022-05-23T00:00:00"/>
  </r>
  <r>
    <x v="31"/>
    <x v="2"/>
    <n v="59"/>
    <x v="1"/>
    <x v="2"/>
    <n v="4.0999999999999996"/>
    <n v="506"/>
    <n v="0.25"/>
    <m/>
    <n v="1"/>
    <n v="9.99"/>
    <x v="31"/>
    <d v="2022-08-03T00:00:00"/>
  </r>
  <r>
    <x v="32"/>
    <x v="5"/>
    <n v="50"/>
    <x v="1"/>
    <x v="3"/>
    <n v="10.6"/>
    <n v="490"/>
    <n v="0.1"/>
    <m/>
    <n v="1"/>
    <n v="9.99"/>
    <x v="32"/>
    <d v="2022-11-16T00:00:00"/>
  </r>
  <r>
    <x v="33"/>
    <x v="1"/>
    <n v="61"/>
    <x v="3"/>
    <x v="3"/>
    <n v="16"/>
    <n v="498"/>
    <n v="0.05"/>
    <m/>
    <n v="0"/>
    <m/>
    <x v="33"/>
    <d v="2023-02-15T00:00:00"/>
  </r>
  <r>
    <x v="34"/>
    <x v="6"/>
    <n v="16"/>
    <x v="3"/>
    <x v="3"/>
    <n v="11.2"/>
    <n v="485"/>
    <n v="0.15"/>
    <m/>
    <n v="0"/>
    <n v="12.99"/>
    <x v="34"/>
    <d v="2024-05-30T00:00:00"/>
  </r>
  <r>
    <x v="35"/>
    <x v="2"/>
    <n v="59"/>
    <x v="1"/>
    <x v="3"/>
    <n v="0.3"/>
    <n v="506"/>
    <n v="0.1"/>
    <m/>
    <n v="0"/>
    <n v="7.99"/>
    <x v="35"/>
    <d v="2023-09-03T00:00:00"/>
  </r>
  <r>
    <x v="36"/>
    <x v="5"/>
    <n v="14"/>
    <x v="3"/>
    <x v="3"/>
    <n v="15.8"/>
    <n v="501"/>
    <n v="0.25"/>
    <m/>
    <n v="0"/>
    <n v="9.99"/>
    <x v="36"/>
    <d v="2024-06-15T00:00:00"/>
  </r>
  <r>
    <x v="37"/>
    <x v="3"/>
    <n v="42"/>
    <x v="1"/>
    <x v="3"/>
    <n v="4.5"/>
    <n v="520"/>
    <n v="0.15"/>
    <m/>
    <n v="1"/>
    <n v="12.99"/>
    <x v="22"/>
    <d v="2023-09-04T00:00:00"/>
  </r>
  <r>
    <x v="38"/>
    <x v="1"/>
    <n v="49"/>
    <x v="3"/>
    <x v="3"/>
    <n v="13.9"/>
    <n v="480"/>
    <n v="0.3"/>
    <m/>
    <n v="0"/>
    <n v="9.99"/>
    <x v="37"/>
    <d v="2024-03-12T00:00:00"/>
  </r>
  <r>
    <x v="39"/>
    <x v="2"/>
    <n v="45"/>
    <x v="1"/>
    <x v="3"/>
    <n v="11.2"/>
    <n v="498"/>
    <n v="0.1"/>
    <m/>
    <n v="1"/>
    <m/>
    <x v="38"/>
    <d v="2022-01-04T00:00:00"/>
  </r>
  <r>
    <x v="40"/>
    <x v="6"/>
    <n v="56"/>
    <x v="2"/>
    <x v="3"/>
    <n v="6"/>
    <n v="492"/>
    <n v="0.1"/>
    <m/>
    <n v="0"/>
    <n v="7.99"/>
    <x v="39"/>
    <d v="2022-01-06T00:00:00"/>
  </r>
  <r>
    <x v="41"/>
    <x v="6"/>
    <n v="17"/>
    <x v="1"/>
    <x v="3"/>
    <n v="5.9"/>
    <n v="514"/>
    <n v="0.3"/>
    <m/>
    <n v="1"/>
    <n v="9.99"/>
    <x v="40"/>
    <d v="2023-10-20T00:00:00"/>
  </r>
  <r>
    <x v="42"/>
    <x v="6"/>
    <n v="46"/>
    <x v="3"/>
    <x v="3"/>
    <n v="5.3"/>
    <n v="524"/>
    <n v="0.1"/>
    <m/>
    <n v="0"/>
    <n v="9.99"/>
    <x v="41"/>
    <d v="2022-03-19T00:00:00"/>
  </r>
  <r>
    <x v="43"/>
    <x v="1"/>
    <n v="22"/>
    <x v="0"/>
    <x v="3"/>
    <n v="10.5"/>
    <n v="487"/>
    <n v="0.05"/>
    <m/>
    <n v="0"/>
    <n v="9.99"/>
    <x v="42"/>
    <d v="2022-09-14T00:00:00"/>
  </r>
  <r>
    <x v="44"/>
    <x v="4"/>
    <n v="25"/>
    <x v="1"/>
    <x v="0"/>
    <n v="10"/>
    <n v="452"/>
    <n v="0.1"/>
    <n v="1"/>
    <n v="0"/>
    <n v="9.99"/>
    <x v="43"/>
    <d v="2022-06-18T00:00:00"/>
  </r>
  <r>
    <x v="45"/>
    <x v="7"/>
    <n v="57"/>
    <x v="1"/>
    <x v="0"/>
    <n v="11.8"/>
    <n v="530"/>
    <n v="0.1"/>
    <n v="1"/>
    <n v="0"/>
    <n v="7.99"/>
    <x v="44"/>
    <d v="2023-01-29T00:00:00"/>
  </r>
  <r>
    <x v="46"/>
    <x v="8"/>
    <n v="57"/>
    <x v="3"/>
    <x v="0"/>
    <n v="7.4"/>
    <n v="524"/>
    <n v="0.15"/>
    <n v="1"/>
    <n v="1"/>
    <m/>
    <x v="45"/>
    <d v="2024-07-10T00:00:00"/>
  </r>
  <r>
    <x v="47"/>
    <x v="7"/>
    <n v="20"/>
    <x v="1"/>
    <x v="0"/>
    <n v="22.3"/>
    <n v="488"/>
    <n v="0.25"/>
    <n v="1"/>
    <n v="1"/>
    <n v="7.99"/>
    <x v="46"/>
    <d v="2022-03-14T00:00:00"/>
  </r>
  <r>
    <x v="48"/>
    <x v="6"/>
    <n v="46"/>
    <x v="1"/>
    <x v="0"/>
    <n v="13.4"/>
    <n v="526"/>
    <n v="0.25"/>
    <n v="1"/>
    <n v="0"/>
    <n v="7.99"/>
    <x v="47"/>
    <d v="2023-05-22T00:00:00"/>
  </r>
  <r>
    <x v="49"/>
    <x v="4"/>
    <n v="19"/>
    <x v="3"/>
    <x v="0"/>
    <n v="6.7"/>
    <n v="526"/>
    <n v="0.05"/>
    <n v="1"/>
    <n v="0"/>
    <m/>
    <x v="48"/>
    <d v="2022-10-12T00:00:00"/>
  </r>
  <r>
    <x v="50"/>
    <x v="6"/>
    <n v="52"/>
    <x v="1"/>
    <x v="0"/>
    <n v="15.4"/>
    <n v="480"/>
    <n v="0.2"/>
    <n v="1"/>
    <n v="0"/>
    <n v="12.99"/>
    <x v="49"/>
    <d v="2022-03-11T00:00:00"/>
  </r>
  <r>
    <x v="51"/>
    <x v="2"/>
    <n v="47"/>
    <x v="3"/>
    <x v="0"/>
    <n v="0.2"/>
    <n v="511"/>
    <n v="0.05"/>
    <n v="1"/>
    <n v="0"/>
    <m/>
    <x v="50"/>
    <d v="2022-11-06T00:00:00"/>
  </r>
  <r>
    <x v="52"/>
    <x v="6"/>
    <n v="42"/>
    <x v="3"/>
    <x v="0"/>
    <n v="10.199999999999999"/>
    <n v="510"/>
    <n v="0.3"/>
    <n v="1"/>
    <n v="0"/>
    <n v="7.99"/>
    <x v="51"/>
    <d v="2024-07-02T00:00:00"/>
  </r>
  <r>
    <x v="53"/>
    <x v="0"/>
    <n v="48"/>
    <x v="1"/>
    <x v="0"/>
    <n v="13.5"/>
    <n v="468"/>
    <n v="0.2"/>
    <n v="1"/>
    <n v="0"/>
    <n v="9.99"/>
    <x v="52"/>
    <d v="2023-10-02T00:00:00"/>
  </r>
  <r>
    <x v="54"/>
    <x v="1"/>
    <n v="59"/>
    <x v="1"/>
    <x v="0"/>
    <n v="14.4"/>
    <n v="468"/>
    <n v="0.2"/>
    <n v="1"/>
    <n v="0"/>
    <n v="9.99"/>
    <x v="53"/>
    <d v="2023-02-10T00:00:00"/>
  </r>
  <r>
    <x v="55"/>
    <x v="6"/>
    <n v="36"/>
    <x v="2"/>
    <x v="0"/>
    <n v="8.5"/>
    <n v="523"/>
    <n v="0.1"/>
    <n v="1"/>
    <n v="0"/>
    <n v="7.99"/>
    <x v="54"/>
    <d v="2023-04-25T00:00:00"/>
  </r>
  <r>
    <x v="56"/>
    <x v="8"/>
    <n v="59"/>
    <x v="1"/>
    <x v="0"/>
    <n v="0.5"/>
    <n v="490"/>
    <n v="0.2"/>
    <n v="1"/>
    <n v="0"/>
    <n v="9.99"/>
    <x v="55"/>
    <d v="2024-08-21T00:00:00"/>
  </r>
  <r>
    <x v="57"/>
    <x v="1"/>
    <n v="39"/>
    <x v="3"/>
    <x v="0"/>
    <n v="6.8"/>
    <n v="512"/>
    <n v="0.1"/>
    <n v="1"/>
    <n v="1"/>
    <n v="7.99"/>
    <x v="56"/>
    <d v="2024-02-01T00:00:00"/>
  </r>
  <r>
    <x v="58"/>
    <x v="2"/>
    <n v="20"/>
    <x v="3"/>
    <x v="0"/>
    <n v="7.8"/>
    <n v="518"/>
    <n v="0.2"/>
    <n v="1"/>
    <n v="0"/>
    <n v="5"/>
    <x v="57"/>
    <d v="2023-08-16T00:00:00"/>
  </r>
  <r>
    <x v="59"/>
    <x v="0"/>
    <n v="33"/>
    <x v="3"/>
    <x v="0"/>
    <n v="8.5"/>
    <n v="507"/>
    <n v="0.15"/>
    <n v="1"/>
    <n v="1"/>
    <n v="9.99"/>
    <x v="58"/>
    <d v="2022-12-16T00:00:00"/>
  </r>
  <r>
    <x v="60"/>
    <x v="5"/>
    <n v="29"/>
    <x v="3"/>
    <x v="0"/>
    <n v="16.600000000000001"/>
    <n v="491"/>
    <n v="0.2"/>
    <n v="1"/>
    <n v="0"/>
    <n v="9.99"/>
    <x v="59"/>
    <d v="2022-03-13T00:00:00"/>
  </r>
  <r>
    <x v="61"/>
    <x v="3"/>
    <n v="38"/>
    <x v="1"/>
    <x v="0"/>
    <n v="1.5"/>
    <n v="458"/>
    <n v="0.05"/>
    <n v="1"/>
    <n v="1"/>
    <n v="9.99"/>
    <x v="60"/>
    <d v="2023-09-17T00:00:00"/>
  </r>
  <r>
    <x v="62"/>
    <x v="1"/>
    <n v="20"/>
    <x v="1"/>
    <x v="0"/>
    <n v="9.4"/>
    <n v="507"/>
    <n v="0.3"/>
    <n v="1"/>
    <n v="1"/>
    <n v="9.99"/>
    <x v="61"/>
    <d v="2022-06-01T00:00:00"/>
  </r>
  <r>
    <x v="63"/>
    <x v="5"/>
    <n v="63"/>
    <x v="1"/>
    <x v="0"/>
    <n v="9.1"/>
    <n v="481"/>
    <n v="0.2"/>
    <n v="1"/>
    <n v="0"/>
    <n v="9.99"/>
    <x v="62"/>
    <d v="2024-02-03T00:00:00"/>
  </r>
  <r>
    <x v="64"/>
    <x v="5"/>
    <n v="18"/>
    <x v="1"/>
    <x v="0"/>
    <n v="9.5"/>
    <n v="454"/>
    <n v="0.1"/>
    <n v="1"/>
    <n v="0"/>
    <n v="9.99"/>
    <x v="63"/>
    <d v="2024-10-06T00:00:00"/>
  </r>
  <r>
    <x v="65"/>
    <x v="4"/>
    <n v="16"/>
    <x v="1"/>
    <x v="0"/>
    <n v="4.5"/>
    <n v="482"/>
    <n v="0.1"/>
    <n v="1"/>
    <n v="0"/>
    <n v="7.99"/>
    <x v="64"/>
    <d v="2023-09-09T00:00:00"/>
  </r>
  <r>
    <x v="66"/>
    <x v="7"/>
    <n v="24"/>
    <x v="1"/>
    <x v="0"/>
    <n v="8.8000000000000007"/>
    <n v="508"/>
    <n v="0.15"/>
    <n v="1"/>
    <n v="0"/>
    <n v="9.99"/>
    <x v="65"/>
    <d v="2023-08-30T00:00:00"/>
  </r>
  <r>
    <x v="67"/>
    <x v="7"/>
    <n v="55"/>
    <x v="3"/>
    <x v="0"/>
    <n v="6.1"/>
    <n v="490"/>
    <n v="0.2"/>
    <n v="1"/>
    <n v="1"/>
    <n v="7.99"/>
    <x v="66"/>
    <d v="2022-11-25T00:00:00"/>
  </r>
  <r>
    <x v="68"/>
    <x v="4"/>
    <n v="50"/>
    <x v="3"/>
    <x v="0"/>
    <n v="6.5"/>
    <n v="505"/>
    <n v="0.3"/>
    <n v="1"/>
    <n v="0"/>
    <n v="9.99"/>
    <x v="67"/>
    <d v="2022-12-24T00:00:00"/>
  </r>
  <r>
    <x v="69"/>
    <x v="7"/>
    <n v="17"/>
    <x v="3"/>
    <x v="0"/>
    <n v="7.8"/>
    <n v="473"/>
    <n v="0.25"/>
    <n v="1"/>
    <n v="0"/>
    <n v="5"/>
    <x v="68"/>
    <d v="2023-09-22T00:00:00"/>
  </r>
  <r>
    <x v="70"/>
    <x v="1"/>
    <n v="57"/>
    <x v="2"/>
    <x v="1"/>
    <n v="4.4000000000000004"/>
    <n v="513"/>
    <n v="0.2"/>
    <n v="1"/>
    <n v="0"/>
    <n v="0"/>
    <x v="49"/>
    <d v="2022-03-11T00:00:00"/>
  </r>
  <r>
    <x v="71"/>
    <x v="6"/>
    <n v="47"/>
    <x v="3"/>
    <x v="1"/>
    <n v="9.1999999999999993"/>
    <n v="476"/>
    <n v="0.1"/>
    <n v="1"/>
    <n v="0"/>
    <n v="0"/>
    <x v="69"/>
    <d v="2024-04-12T00:00:00"/>
  </r>
  <r>
    <x v="72"/>
    <x v="6"/>
    <n v="40"/>
    <x v="2"/>
    <x v="1"/>
    <n v="2.1"/>
    <n v="462"/>
    <n v="0.25"/>
    <n v="1"/>
    <n v="0"/>
    <n v="0"/>
    <x v="70"/>
    <d v="2022-06-06T00:00:00"/>
  </r>
  <r>
    <x v="73"/>
    <x v="4"/>
    <n v="59"/>
    <x v="1"/>
    <x v="1"/>
    <n v="12.9"/>
    <n v="519"/>
    <n v="0.25"/>
    <n v="1"/>
    <n v="0"/>
    <n v="0"/>
    <x v="71"/>
    <d v="2023-10-21T00:00:00"/>
  </r>
  <r>
    <x v="74"/>
    <x v="2"/>
    <n v="59"/>
    <x v="0"/>
    <x v="1"/>
    <n v="7.4"/>
    <n v="502"/>
    <n v="0.25"/>
    <n v="1"/>
    <n v="1"/>
    <n v="0"/>
    <x v="10"/>
    <d v="2022-06-27T00:00:00"/>
  </r>
  <r>
    <x v="75"/>
    <x v="6"/>
    <n v="49"/>
    <x v="3"/>
    <x v="1"/>
    <n v="12.7"/>
    <n v="511"/>
    <n v="0.15"/>
    <n v="1"/>
    <n v="0"/>
    <n v="0"/>
    <x v="72"/>
    <d v="2023-10-24T00:00:00"/>
  </r>
  <r>
    <x v="76"/>
    <x v="6"/>
    <n v="34"/>
    <x v="0"/>
    <x v="1"/>
    <n v="19.399999999999999"/>
    <n v="508"/>
    <n v="0.25"/>
    <n v="1"/>
    <n v="0"/>
    <n v="0"/>
    <x v="73"/>
    <d v="2022-04-08T00:00:00"/>
  </r>
  <r>
    <x v="77"/>
    <x v="6"/>
    <n v="63"/>
    <x v="1"/>
    <x v="1"/>
    <n v="11.3"/>
    <n v="492"/>
    <n v="0.1"/>
    <n v="1"/>
    <n v="0"/>
    <n v="0"/>
    <x v="74"/>
    <d v="2022-09-09T00:00:00"/>
  </r>
  <r>
    <x v="78"/>
    <x v="0"/>
    <n v="58"/>
    <x v="0"/>
    <x v="1"/>
    <n v="3.8"/>
    <n v="498"/>
    <n v="0.15"/>
    <n v="1"/>
    <n v="0"/>
    <n v="0"/>
    <x v="75"/>
    <d v="2022-01-16T00:00:00"/>
  </r>
  <r>
    <x v="79"/>
    <x v="1"/>
    <n v="62"/>
    <x v="2"/>
    <x v="1"/>
    <n v="10.3"/>
    <n v="466"/>
    <n v="0.15"/>
    <n v="1"/>
    <n v="0"/>
    <n v="0"/>
    <x v="76"/>
    <d v="2023-11-24T00:00:00"/>
  </r>
  <r>
    <x v="80"/>
    <x v="2"/>
    <n v="52"/>
    <x v="1"/>
    <x v="1"/>
    <n v="8"/>
    <n v="496"/>
    <n v="0.25"/>
    <n v="1"/>
    <n v="0"/>
    <n v="0"/>
    <x v="77"/>
    <d v="2022-11-12T00:00:00"/>
  </r>
  <r>
    <x v="81"/>
    <x v="1"/>
    <n v="64"/>
    <x v="3"/>
    <x v="2"/>
    <n v="7.6"/>
    <n v="461"/>
    <n v="0.15"/>
    <n v="1"/>
    <n v="0"/>
    <n v="9.99"/>
    <x v="78"/>
    <d v="2022-01-29T00:00:00"/>
  </r>
  <r>
    <x v="82"/>
    <x v="2"/>
    <n v="58"/>
    <x v="3"/>
    <x v="2"/>
    <n v="7.5"/>
    <n v="524"/>
    <n v="0.1"/>
    <n v="1"/>
    <n v="1"/>
    <n v="7.99"/>
    <x v="79"/>
    <d v="2023-05-18T00:00:00"/>
  </r>
  <r>
    <x v="83"/>
    <x v="7"/>
    <n v="32"/>
    <x v="2"/>
    <x v="2"/>
    <n v="10"/>
    <n v="500"/>
    <n v="0.3"/>
    <n v="1"/>
    <n v="0"/>
    <n v="9.99"/>
    <x v="80"/>
    <d v="2022-12-24T00:00:00"/>
  </r>
  <r>
    <x v="84"/>
    <x v="6"/>
    <n v="14"/>
    <x v="0"/>
    <x v="2"/>
    <n v="4.5999999999999996"/>
    <n v="480"/>
    <n v="0.1"/>
    <n v="1"/>
    <n v="1"/>
    <n v="7.99"/>
    <x v="81"/>
    <d v="2022-03-22T00:00:00"/>
  </r>
  <r>
    <x v="85"/>
    <x v="1"/>
    <n v="27"/>
    <x v="1"/>
    <x v="2"/>
    <n v="1.3"/>
    <n v="480"/>
    <n v="0.2"/>
    <n v="1"/>
    <n v="0"/>
    <n v="9.99"/>
    <x v="82"/>
    <d v="2022-12-15T00:00:00"/>
  </r>
  <r>
    <x v="86"/>
    <x v="6"/>
    <n v="33"/>
    <x v="2"/>
    <x v="2"/>
    <n v="14.4"/>
    <n v="487"/>
    <n v="0.15"/>
    <n v="1"/>
    <n v="0"/>
    <n v="9.99"/>
    <x v="83"/>
    <d v="2023-07-28T00:00:00"/>
  </r>
  <r>
    <x v="87"/>
    <x v="6"/>
    <n v="15"/>
    <x v="2"/>
    <x v="2"/>
    <n v="14.9"/>
    <n v="484"/>
    <n v="0.2"/>
    <n v="1"/>
    <n v="0"/>
    <n v="12.99"/>
    <x v="84"/>
    <d v="2023-10-30T00:00:00"/>
  </r>
  <r>
    <x v="88"/>
    <x v="2"/>
    <n v="39"/>
    <x v="2"/>
    <x v="2"/>
    <n v="5.4"/>
    <n v="473"/>
    <n v="0.3"/>
    <n v="1"/>
    <n v="0"/>
    <n v="7.99"/>
    <x v="85"/>
    <d v="2024-01-02T00:00:00"/>
  </r>
  <r>
    <x v="89"/>
    <x v="7"/>
    <n v="41"/>
    <x v="3"/>
    <x v="2"/>
    <n v="7.5"/>
    <n v="494"/>
    <n v="0.2"/>
    <n v="1"/>
    <n v="0"/>
    <n v="7.99"/>
    <x v="86"/>
    <d v="2022-10-24T00:00:00"/>
  </r>
  <r>
    <x v="90"/>
    <x v="0"/>
    <n v="47"/>
    <x v="0"/>
    <x v="2"/>
    <n v="3.9"/>
    <n v="483"/>
    <n v="0.25"/>
    <n v="1"/>
    <n v="0"/>
    <n v="12.99"/>
    <x v="87"/>
    <d v="2022-10-13T00:00:00"/>
  </r>
  <r>
    <x v="91"/>
    <x v="0"/>
    <n v="13"/>
    <x v="1"/>
    <x v="2"/>
    <n v="11.4"/>
    <n v="492"/>
    <n v="0.25"/>
    <n v="1"/>
    <n v="0"/>
    <n v="12.99"/>
    <x v="88"/>
    <d v="2024-06-13T00:00:00"/>
  </r>
  <r>
    <x v="92"/>
    <x v="6"/>
    <n v="56"/>
    <x v="1"/>
    <x v="2"/>
    <n v="5.6"/>
    <n v="516"/>
    <n v="0.05"/>
    <n v="1"/>
    <n v="1"/>
    <n v="9.99"/>
    <x v="89"/>
    <d v="2023-06-22T00:00:00"/>
  </r>
  <r>
    <x v="93"/>
    <x v="1"/>
    <n v="18"/>
    <x v="3"/>
    <x v="2"/>
    <n v="8.4"/>
    <n v="479"/>
    <n v="0.1"/>
    <n v="1"/>
    <n v="0"/>
    <n v="9.99"/>
    <x v="90"/>
    <d v="2023-12-15T00:00:00"/>
  </r>
  <r>
    <x v="94"/>
    <x v="0"/>
    <n v="50"/>
    <x v="3"/>
    <x v="3"/>
    <n v="16.399999999999999"/>
    <n v="483"/>
    <n v="0.05"/>
    <n v="1"/>
    <n v="1"/>
    <n v="9.99"/>
    <x v="91"/>
    <d v="2023-06-01T00:00:00"/>
  </r>
  <r>
    <x v="95"/>
    <x v="3"/>
    <n v="20"/>
    <x v="1"/>
    <x v="3"/>
    <n v="16.5"/>
    <n v="491"/>
    <n v="0.2"/>
    <n v="1"/>
    <n v="0"/>
    <m/>
    <x v="92"/>
    <d v="2023-04-19T00:00:00"/>
  </r>
  <r>
    <x v="96"/>
    <x v="4"/>
    <n v="32"/>
    <x v="3"/>
    <x v="3"/>
    <n v="6.4"/>
    <n v="488"/>
    <n v="0.15"/>
    <n v="1"/>
    <n v="1"/>
    <n v="9.99"/>
    <x v="90"/>
    <d v="2023-12-15T00:00:00"/>
  </r>
  <r>
    <x v="97"/>
    <x v="1"/>
    <n v="41"/>
    <x v="1"/>
    <x v="3"/>
    <n v="2.6"/>
    <n v="542"/>
    <n v="0.3"/>
    <n v="1"/>
    <n v="1"/>
    <m/>
    <x v="93"/>
    <d v="2022-05-05T00:00:00"/>
  </r>
  <r>
    <x v="98"/>
    <x v="4"/>
    <n v="50"/>
    <x v="3"/>
    <x v="3"/>
    <n v="8.3000000000000007"/>
    <n v="518"/>
    <n v="0.1"/>
    <n v="1"/>
    <n v="1"/>
    <m/>
    <x v="94"/>
    <d v="2023-01-31T00:00:00"/>
  </r>
  <r>
    <x v="99"/>
    <x v="6"/>
    <n v="48"/>
    <x v="3"/>
    <x v="3"/>
    <n v="9.6999999999999993"/>
    <n v="530"/>
    <n v="0.1"/>
    <n v="1"/>
    <n v="0"/>
    <m/>
    <x v="95"/>
    <d v="2023-05-15T00:00:00"/>
  </r>
  <r>
    <x v="100"/>
    <x v="6"/>
    <n v="31"/>
    <x v="3"/>
    <x v="3"/>
    <n v="11.2"/>
    <n v="532"/>
    <n v="0.1"/>
    <n v="1"/>
    <n v="0"/>
    <m/>
    <x v="96"/>
    <d v="2023-11-29T00:00:00"/>
  </r>
  <r>
    <x v="101"/>
    <x v="3"/>
    <n v="50"/>
    <x v="1"/>
    <x v="3"/>
    <n v="8.5"/>
    <n v="526"/>
    <n v="0.1"/>
    <n v="1"/>
    <n v="1"/>
    <m/>
    <x v="97"/>
    <d v="2022-10-16T00:00:00"/>
  </r>
  <r>
    <x v="102"/>
    <x v="6"/>
    <n v="13"/>
    <x v="1"/>
    <x v="3"/>
    <n v="12.9"/>
    <n v="509"/>
    <n v="0.1"/>
    <n v="1"/>
    <n v="1"/>
    <n v="12.99"/>
    <x v="98"/>
    <d v="2022-01-17T00:00:00"/>
  </r>
  <r>
    <x v="103"/>
    <x v="3"/>
    <n v="63"/>
    <x v="0"/>
    <x v="3"/>
    <n v="19.100000000000001"/>
    <n v="477"/>
    <n v="0.1"/>
    <n v="1"/>
    <n v="0"/>
    <n v="9.99"/>
    <x v="99"/>
    <d v="2023-07-29T00:00:00"/>
  </r>
  <r>
    <x v="104"/>
    <x v="0"/>
    <n v="17"/>
    <x v="1"/>
    <x v="3"/>
    <n v="4.8"/>
    <n v="501"/>
    <n v="0.25"/>
    <n v="1"/>
    <n v="1"/>
    <n v="12.99"/>
    <x v="100"/>
    <d v="2024-01-08T00:00:00"/>
  </r>
  <r>
    <x v="105"/>
    <x v="5"/>
    <n v="59"/>
    <x v="2"/>
    <x v="3"/>
    <n v="11.7"/>
    <n v="495"/>
    <n v="0.1"/>
    <n v="1"/>
    <n v="0"/>
    <n v="5"/>
    <x v="101"/>
    <d v="2023-03-23T00:00:00"/>
  </r>
  <r>
    <x v="106"/>
    <x v="1"/>
    <n v="19"/>
    <x v="3"/>
    <x v="3"/>
    <n v="10"/>
    <n v="472"/>
    <n v="0.1"/>
    <n v="1"/>
    <n v="0"/>
    <n v="7.99"/>
    <x v="102"/>
    <d v="2022-09-24T00:00:00"/>
  </r>
  <r>
    <x v="107"/>
    <x v="7"/>
    <n v="23"/>
    <x v="0"/>
    <x v="3"/>
    <n v="13.8"/>
    <n v="519"/>
    <n v="0.3"/>
    <n v="1"/>
    <n v="0"/>
    <m/>
    <x v="29"/>
    <d v="2023-05-06T00:00:00"/>
  </r>
  <r>
    <x v="108"/>
    <x v="7"/>
    <n v="20"/>
    <x v="1"/>
    <x v="3"/>
    <n v="15.2"/>
    <n v="517"/>
    <n v="0.1"/>
    <n v="1"/>
    <n v="0"/>
    <n v="5"/>
    <x v="103"/>
    <d v="2024-05-21T00:00:00"/>
  </r>
  <r>
    <x v="109"/>
    <x v="6"/>
    <n v="18"/>
    <x v="0"/>
    <x v="3"/>
    <n v="0.5"/>
    <n v="509"/>
    <n v="0.05"/>
    <n v="1"/>
    <n v="0"/>
    <m/>
    <x v="104"/>
    <d v="2023-04-23T00:00:00"/>
  </r>
  <r>
    <x v="110"/>
    <x v="7"/>
    <n v="42"/>
    <x v="2"/>
    <x v="3"/>
    <n v="14.4"/>
    <n v="491"/>
    <n v="0.05"/>
    <n v="1"/>
    <n v="0"/>
    <n v="9.99"/>
    <x v="105"/>
    <d v="2023-05-08T00:00:00"/>
  </r>
  <r>
    <x v="111"/>
    <x v="0"/>
    <n v="30"/>
    <x v="0"/>
    <x v="3"/>
    <n v="4.3"/>
    <n v="500"/>
    <n v="0.1"/>
    <n v="1"/>
    <n v="0"/>
    <n v="9.99"/>
    <x v="106"/>
    <d v="2023-05-20T00:00:00"/>
  </r>
  <r>
    <x v="112"/>
    <x v="6"/>
    <n v="38"/>
    <x v="0"/>
    <x v="3"/>
    <n v="12.3"/>
    <n v="500"/>
    <n v="0.1"/>
    <n v="1"/>
    <n v="0"/>
    <n v="7.99"/>
    <x v="107"/>
    <d v="2023-11-24T00:00:00"/>
  </r>
  <r>
    <x v="113"/>
    <x v="5"/>
    <n v="30"/>
    <x v="0"/>
    <x v="3"/>
    <n v="14.9"/>
    <n v="494"/>
    <n v="0.25"/>
    <n v="1"/>
    <n v="0"/>
    <n v="12.99"/>
    <x v="72"/>
    <d v="2023-10-24T00:00:00"/>
  </r>
  <r>
    <x v="114"/>
    <x v="1"/>
    <n v="43"/>
    <x v="3"/>
    <x v="3"/>
    <n v="9.6"/>
    <n v="531"/>
    <n v="0.3"/>
    <n v="1"/>
    <n v="0"/>
    <n v="7.99"/>
    <x v="108"/>
    <d v="2023-06-04T00:00:00"/>
  </r>
  <r>
    <x v="115"/>
    <x v="7"/>
    <n v="36"/>
    <x v="1"/>
    <x v="3"/>
    <n v="13.2"/>
    <n v="479"/>
    <n v="0.3"/>
    <n v="1"/>
    <n v="0"/>
    <n v="7.99"/>
    <x v="109"/>
    <d v="2023-06-23T00:00:00"/>
  </r>
  <r>
    <x v="116"/>
    <x v="0"/>
    <n v="60"/>
    <x v="1"/>
    <x v="3"/>
    <n v="6.3"/>
    <n v="510"/>
    <n v="0.25"/>
    <n v="1"/>
    <n v="1"/>
    <m/>
    <x v="89"/>
    <d v="2023-06-22T00:00:00"/>
  </r>
  <r>
    <x v="117"/>
    <x v="1"/>
    <n v="62"/>
    <x v="3"/>
    <x v="0"/>
    <n v="12.5"/>
    <n v="486"/>
    <n v="0.15"/>
    <n v="2"/>
    <n v="0"/>
    <n v="5"/>
    <x v="110"/>
    <d v="2023-11-19T00:00:00"/>
  </r>
  <r>
    <x v="118"/>
    <x v="6"/>
    <n v="59"/>
    <x v="0"/>
    <x v="0"/>
    <n v="7.5"/>
    <n v="538"/>
    <n v="0.1"/>
    <n v="2"/>
    <n v="1"/>
    <n v="7.99"/>
    <x v="111"/>
    <d v="2024-04-21T00:00:00"/>
  </r>
  <r>
    <x v="119"/>
    <x v="6"/>
    <n v="34"/>
    <x v="2"/>
    <x v="0"/>
    <n v="6.9"/>
    <n v="467"/>
    <n v="0.05"/>
    <n v="2"/>
    <n v="0"/>
    <n v="5"/>
    <x v="112"/>
    <d v="2022-06-28T00:00:00"/>
  </r>
  <r>
    <x v="120"/>
    <x v="2"/>
    <n v="37"/>
    <x v="1"/>
    <x v="0"/>
    <n v="0.2"/>
    <n v="503"/>
    <n v="0.1"/>
    <n v="2"/>
    <n v="1"/>
    <n v="12.99"/>
    <x v="113"/>
    <d v="2022-08-17T00:00:00"/>
  </r>
  <r>
    <x v="121"/>
    <x v="4"/>
    <n v="52"/>
    <x v="3"/>
    <x v="0"/>
    <n v="8.9"/>
    <n v="475"/>
    <n v="0.1"/>
    <n v="2"/>
    <n v="0"/>
    <n v="9.99"/>
    <x v="114"/>
    <d v="2022-04-02T00:00:00"/>
  </r>
  <r>
    <x v="122"/>
    <x v="2"/>
    <n v="31"/>
    <x v="3"/>
    <x v="0"/>
    <n v="4.0999999999999996"/>
    <n v="450"/>
    <n v="0.3"/>
    <n v="2"/>
    <n v="0"/>
    <m/>
    <x v="57"/>
    <d v="2023-08-16T00:00:00"/>
  </r>
  <r>
    <x v="123"/>
    <x v="0"/>
    <n v="44"/>
    <x v="0"/>
    <x v="0"/>
    <n v="9"/>
    <n v="514"/>
    <n v="0.15"/>
    <n v="2"/>
    <n v="1"/>
    <n v="9.99"/>
    <x v="115"/>
    <d v="2023-10-11T00:00:00"/>
  </r>
  <r>
    <x v="124"/>
    <x v="7"/>
    <n v="45"/>
    <x v="3"/>
    <x v="0"/>
    <n v="11.4"/>
    <n v="499"/>
    <n v="0.05"/>
    <n v="2"/>
    <n v="0"/>
    <n v="9.99"/>
    <x v="116"/>
    <d v="2023-05-11T00:00:00"/>
  </r>
  <r>
    <x v="125"/>
    <x v="6"/>
    <n v="60"/>
    <x v="3"/>
    <x v="0"/>
    <n v="5.2"/>
    <n v="491"/>
    <n v="0.1"/>
    <n v="2"/>
    <n v="0"/>
    <n v="5"/>
    <x v="117"/>
    <d v="2023-12-30T00:00:00"/>
  </r>
  <r>
    <x v="126"/>
    <x v="3"/>
    <n v="38"/>
    <x v="0"/>
    <x v="0"/>
    <n v="9.1999999999999993"/>
    <n v="477"/>
    <n v="0.3"/>
    <n v="2"/>
    <n v="0"/>
    <n v="9.99"/>
    <x v="118"/>
    <d v="2023-07-09T00:00:00"/>
  </r>
  <r>
    <x v="127"/>
    <x v="5"/>
    <n v="20"/>
    <x v="1"/>
    <x v="0"/>
    <n v="6.6"/>
    <n v="496"/>
    <n v="0.1"/>
    <n v="2"/>
    <n v="0"/>
    <n v="9.99"/>
    <x v="119"/>
    <d v="2024-01-01T00:00:00"/>
  </r>
  <r>
    <x v="128"/>
    <x v="3"/>
    <n v="46"/>
    <x v="2"/>
    <x v="0"/>
    <n v="5.7"/>
    <n v="477"/>
    <n v="0.1"/>
    <n v="2"/>
    <n v="1"/>
    <n v="7.99"/>
    <x v="120"/>
    <d v="2023-04-28T00:00:00"/>
  </r>
  <r>
    <x v="129"/>
    <x v="1"/>
    <n v="35"/>
    <x v="1"/>
    <x v="0"/>
    <n v="13"/>
    <n v="532"/>
    <n v="0.1"/>
    <n v="2"/>
    <n v="1"/>
    <n v="9.99"/>
    <x v="121"/>
    <d v="2023-11-16T00:00:00"/>
  </r>
  <r>
    <x v="130"/>
    <x v="2"/>
    <n v="48"/>
    <x v="3"/>
    <x v="0"/>
    <n v="12.6"/>
    <n v="498"/>
    <n v="0.3"/>
    <n v="2"/>
    <n v="1"/>
    <m/>
    <x v="28"/>
    <d v="2024-05-24T00:00:00"/>
  </r>
  <r>
    <x v="131"/>
    <x v="8"/>
    <n v="46"/>
    <x v="3"/>
    <x v="0"/>
    <n v="15.8"/>
    <n v="494"/>
    <n v="0.3"/>
    <n v="2"/>
    <n v="0"/>
    <n v="9.99"/>
    <x v="122"/>
    <d v="2024-03-27T00:00:00"/>
  </r>
  <r>
    <x v="132"/>
    <x v="5"/>
    <n v="23"/>
    <x v="3"/>
    <x v="0"/>
    <n v="9.8000000000000007"/>
    <n v="496"/>
    <n v="0.25"/>
    <n v="2"/>
    <n v="1"/>
    <n v="7.99"/>
    <x v="123"/>
    <d v="2022-07-04T00:00:00"/>
  </r>
  <r>
    <x v="133"/>
    <x v="4"/>
    <n v="33"/>
    <x v="3"/>
    <x v="0"/>
    <n v="5.9"/>
    <n v="492"/>
    <n v="0.1"/>
    <n v="2"/>
    <n v="1"/>
    <n v="12.99"/>
    <x v="124"/>
    <d v="2024-06-30T00:00:00"/>
  </r>
  <r>
    <x v="134"/>
    <x v="6"/>
    <n v="30"/>
    <x v="3"/>
    <x v="0"/>
    <n v="0.5"/>
    <n v="511"/>
    <n v="0.05"/>
    <n v="2"/>
    <n v="0"/>
    <n v="9.99"/>
    <x v="125"/>
    <d v="2022-05-10T00:00:00"/>
  </r>
  <r>
    <x v="135"/>
    <x v="6"/>
    <n v="26"/>
    <x v="0"/>
    <x v="0"/>
    <n v="7.1"/>
    <n v="505"/>
    <n v="0.2"/>
    <n v="2"/>
    <n v="1"/>
    <n v="7.99"/>
    <x v="126"/>
    <d v="2022-02-10T00:00:00"/>
  </r>
  <r>
    <x v="136"/>
    <x v="1"/>
    <n v="31"/>
    <x v="3"/>
    <x v="0"/>
    <n v="2"/>
    <n v="554"/>
    <n v="0.2"/>
    <n v="2"/>
    <n v="0"/>
    <n v="5"/>
    <x v="127"/>
    <d v="2023-06-20T00:00:00"/>
  </r>
  <r>
    <x v="137"/>
    <x v="6"/>
    <n v="22"/>
    <x v="3"/>
    <x v="0"/>
    <n v="8.6999999999999993"/>
    <n v="533"/>
    <n v="0.1"/>
    <n v="2"/>
    <n v="1"/>
    <n v="12.99"/>
    <x v="128"/>
    <d v="2022-05-02T00:00:00"/>
  </r>
  <r>
    <x v="138"/>
    <x v="7"/>
    <n v="36"/>
    <x v="3"/>
    <x v="0"/>
    <n v="12"/>
    <n v="481"/>
    <n v="0.1"/>
    <n v="2"/>
    <n v="0"/>
    <n v="7.99"/>
    <x v="129"/>
    <d v="2022-07-16T00:00:00"/>
  </r>
  <r>
    <x v="139"/>
    <x v="2"/>
    <n v="44"/>
    <x v="1"/>
    <x v="0"/>
    <n v="12.1"/>
    <n v="464"/>
    <n v="0.1"/>
    <n v="2"/>
    <n v="0"/>
    <m/>
    <x v="130"/>
    <d v="2022-10-03T00:00:00"/>
  </r>
  <r>
    <x v="140"/>
    <x v="8"/>
    <n v="26"/>
    <x v="3"/>
    <x v="0"/>
    <n v="17.100000000000001"/>
    <n v="485"/>
    <n v="0.1"/>
    <n v="2"/>
    <n v="0"/>
    <n v="9.99"/>
    <x v="59"/>
    <d v="2022-03-13T00:00:00"/>
  </r>
  <r>
    <x v="141"/>
    <x v="3"/>
    <n v="62"/>
    <x v="3"/>
    <x v="0"/>
    <n v="13"/>
    <n v="475"/>
    <n v="0.15"/>
    <n v="2"/>
    <n v="0"/>
    <n v="9.99"/>
    <x v="23"/>
    <d v="2024-08-27T00:00:00"/>
  </r>
  <r>
    <x v="142"/>
    <x v="1"/>
    <n v="26"/>
    <x v="3"/>
    <x v="0"/>
    <n v="9.3000000000000007"/>
    <n v="496"/>
    <n v="0.3"/>
    <n v="2"/>
    <n v="1"/>
    <m/>
    <x v="131"/>
    <d v="2022-11-02T00:00:00"/>
  </r>
  <r>
    <x v="143"/>
    <x v="6"/>
    <n v="48"/>
    <x v="3"/>
    <x v="1"/>
    <n v="6.7"/>
    <n v="485"/>
    <n v="0.15"/>
    <n v="2"/>
    <n v="0"/>
    <n v="0"/>
    <x v="132"/>
    <d v="2023-02-21T00:00:00"/>
  </r>
  <r>
    <x v="144"/>
    <x v="0"/>
    <n v="37"/>
    <x v="1"/>
    <x v="1"/>
    <n v="3.9"/>
    <n v="500"/>
    <n v="0.2"/>
    <n v="2"/>
    <n v="1"/>
    <n v="0"/>
    <x v="133"/>
    <d v="2023-03-28T00:00:00"/>
  </r>
  <r>
    <x v="145"/>
    <x v="2"/>
    <n v="39"/>
    <x v="0"/>
    <x v="1"/>
    <n v="10.7"/>
    <n v="531"/>
    <n v="0.25"/>
    <n v="2"/>
    <n v="1"/>
    <n v="0"/>
    <x v="134"/>
    <d v="2023-12-19T00:00:00"/>
  </r>
  <r>
    <x v="146"/>
    <x v="7"/>
    <n v="17"/>
    <x v="3"/>
    <x v="1"/>
    <n v="11.5"/>
    <n v="512"/>
    <n v="0.3"/>
    <n v="2"/>
    <n v="1"/>
    <n v="0"/>
    <x v="135"/>
    <d v="2024-01-31T00:00:00"/>
  </r>
  <r>
    <x v="147"/>
    <x v="1"/>
    <n v="26"/>
    <x v="3"/>
    <x v="1"/>
    <n v="7.9"/>
    <n v="495"/>
    <n v="0.2"/>
    <n v="2"/>
    <n v="0"/>
    <n v="0"/>
    <x v="136"/>
    <d v="2022-01-15T00:00:00"/>
  </r>
  <r>
    <x v="148"/>
    <x v="3"/>
    <n v="54"/>
    <x v="0"/>
    <x v="1"/>
    <n v="6"/>
    <n v="480"/>
    <n v="0.2"/>
    <n v="2"/>
    <n v="0"/>
    <n v="0"/>
    <x v="137"/>
    <d v="2024-08-01T00:00:00"/>
  </r>
  <r>
    <x v="149"/>
    <x v="6"/>
    <n v="59"/>
    <x v="1"/>
    <x v="1"/>
    <n v="14.2"/>
    <n v="514"/>
    <n v="0.2"/>
    <n v="2"/>
    <n v="0"/>
    <n v="0"/>
    <x v="138"/>
    <d v="2023-02-23T00:00:00"/>
  </r>
  <r>
    <x v="150"/>
    <x v="4"/>
    <n v="62"/>
    <x v="1"/>
    <x v="1"/>
    <n v="7.7"/>
    <n v="511"/>
    <n v="0.2"/>
    <n v="2"/>
    <n v="0"/>
    <n v="0"/>
    <x v="139"/>
    <d v="2022-10-06T00:00:00"/>
  </r>
  <r>
    <x v="151"/>
    <x v="6"/>
    <n v="53"/>
    <x v="2"/>
    <x v="1"/>
    <n v="10.3"/>
    <n v="536"/>
    <n v="0.2"/>
    <n v="2"/>
    <n v="1"/>
    <n v="0"/>
    <x v="140"/>
    <d v="2023-08-02T00:00:00"/>
  </r>
  <r>
    <x v="152"/>
    <x v="0"/>
    <n v="32"/>
    <x v="3"/>
    <x v="1"/>
    <n v="20.8"/>
    <n v="487"/>
    <n v="0.25"/>
    <n v="2"/>
    <n v="0"/>
    <n v="0"/>
    <x v="141"/>
    <d v="2024-06-30T00:00:00"/>
  </r>
  <r>
    <x v="153"/>
    <x v="0"/>
    <n v="25"/>
    <x v="3"/>
    <x v="1"/>
    <n v="14.3"/>
    <n v="492"/>
    <n v="0.3"/>
    <n v="2"/>
    <n v="1"/>
    <n v="0"/>
    <x v="142"/>
    <d v="2023-04-24T00:00:00"/>
  </r>
  <r>
    <x v="154"/>
    <x v="3"/>
    <n v="18"/>
    <x v="0"/>
    <x v="1"/>
    <n v="17.899999999999999"/>
    <n v="524"/>
    <n v="0.1"/>
    <n v="2"/>
    <n v="0"/>
    <n v="0"/>
    <x v="143"/>
    <d v="2022-01-31T00:00:00"/>
  </r>
  <r>
    <x v="155"/>
    <x v="8"/>
    <n v="50"/>
    <x v="3"/>
    <x v="1"/>
    <n v="4.0999999999999996"/>
    <n v="541"/>
    <n v="0.1"/>
    <n v="2"/>
    <n v="0"/>
    <n v="0"/>
    <x v="144"/>
    <d v="2024-02-12T00:00:00"/>
  </r>
  <r>
    <x v="156"/>
    <x v="2"/>
    <n v="13"/>
    <x v="3"/>
    <x v="1"/>
    <n v="11"/>
    <n v="510"/>
    <n v="0.2"/>
    <n v="2"/>
    <n v="0"/>
    <n v="0"/>
    <x v="145"/>
    <d v="2024-01-22T00:00:00"/>
  </r>
  <r>
    <x v="157"/>
    <x v="6"/>
    <n v="33"/>
    <x v="1"/>
    <x v="1"/>
    <n v="0.2"/>
    <n v="499"/>
    <n v="0.2"/>
    <n v="2"/>
    <n v="0"/>
    <n v="0"/>
    <x v="146"/>
    <d v="2023-06-24T00:00:00"/>
  </r>
  <r>
    <x v="158"/>
    <x v="1"/>
    <n v="31"/>
    <x v="1"/>
    <x v="1"/>
    <n v="8.1999999999999993"/>
    <n v="514"/>
    <n v="0.05"/>
    <n v="2"/>
    <n v="0"/>
    <n v="0"/>
    <x v="147"/>
    <d v="2024-03-16T00:00:00"/>
  </r>
  <r>
    <x v="159"/>
    <x v="2"/>
    <n v="50"/>
    <x v="3"/>
    <x v="1"/>
    <n v="11.8"/>
    <n v="527"/>
    <n v="0.05"/>
    <n v="2"/>
    <n v="0"/>
    <n v="0"/>
    <x v="148"/>
    <d v="2024-06-29T00:00:00"/>
  </r>
  <r>
    <x v="160"/>
    <x v="3"/>
    <n v="43"/>
    <x v="1"/>
    <x v="1"/>
    <n v="8"/>
    <n v="471"/>
    <n v="0.25"/>
    <n v="2"/>
    <n v="0"/>
    <n v="0"/>
    <x v="64"/>
    <d v="2023-09-09T00:00:00"/>
  </r>
  <r>
    <x v="161"/>
    <x v="1"/>
    <n v="53"/>
    <x v="3"/>
    <x v="2"/>
    <n v="5.5"/>
    <n v="500"/>
    <n v="0.1"/>
    <n v="2"/>
    <n v="1"/>
    <n v="7.99"/>
    <x v="149"/>
    <d v="2022-03-27T00:00:00"/>
  </r>
  <r>
    <x v="162"/>
    <x v="1"/>
    <n v="63"/>
    <x v="1"/>
    <x v="2"/>
    <n v="13.9"/>
    <n v="493"/>
    <n v="0.2"/>
    <n v="2"/>
    <n v="0"/>
    <n v="7.99"/>
    <x v="150"/>
    <d v="2023-04-18T00:00:00"/>
  </r>
  <r>
    <x v="163"/>
    <x v="0"/>
    <n v="16"/>
    <x v="1"/>
    <x v="2"/>
    <n v="12.4"/>
    <n v="523"/>
    <n v="0.25"/>
    <n v="2"/>
    <n v="0"/>
    <n v="9.99"/>
    <x v="151"/>
    <d v="2022-04-29T00:00:00"/>
  </r>
  <r>
    <x v="164"/>
    <x v="2"/>
    <n v="40"/>
    <x v="1"/>
    <x v="2"/>
    <n v="11"/>
    <n v="452"/>
    <n v="0.1"/>
    <n v="2"/>
    <n v="0"/>
    <n v="9.99"/>
    <x v="152"/>
    <d v="2022-09-26T00:00:00"/>
  </r>
  <r>
    <x v="165"/>
    <x v="8"/>
    <n v="16"/>
    <x v="3"/>
    <x v="2"/>
    <n v="10.3"/>
    <n v="506"/>
    <n v="0.15"/>
    <n v="2"/>
    <n v="1"/>
    <n v="12.99"/>
    <x v="153"/>
    <d v="2023-06-25T00:00:00"/>
  </r>
  <r>
    <x v="166"/>
    <x v="1"/>
    <n v="51"/>
    <x v="1"/>
    <x v="2"/>
    <n v="15.5"/>
    <n v="502"/>
    <n v="0.1"/>
    <n v="2"/>
    <n v="0"/>
    <n v="9.99"/>
    <x v="154"/>
    <d v="2022-12-15T00:00:00"/>
  </r>
  <r>
    <x v="167"/>
    <x v="1"/>
    <n v="15"/>
    <x v="2"/>
    <x v="2"/>
    <n v="5.3"/>
    <n v="525"/>
    <n v="0.2"/>
    <n v="2"/>
    <n v="1"/>
    <n v="7.99"/>
    <x v="155"/>
    <d v="2023-07-03T00:00:00"/>
  </r>
  <r>
    <x v="168"/>
    <x v="1"/>
    <n v="37"/>
    <x v="3"/>
    <x v="2"/>
    <n v="14.1"/>
    <n v="528"/>
    <n v="0.05"/>
    <n v="2"/>
    <n v="1"/>
    <n v="7.99"/>
    <x v="156"/>
    <d v="2022-01-03T00:00:00"/>
  </r>
  <r>
    <x v="169"/>
    <x v="7"/>
    <n v="39"/>
    <x v="3"/>
    <x v="2"/>
    <n v="11.3"/>
    <n v="487"/>
    <n v="0.3"/>
    <n v="2"/>
    <n v="0"/>
    <n v="9.99"/>
    <x v="67"/>
    <d v="2022-12-24T00:00:00"/>
  </r>
  <r>
    <x v="170"/>
    <x v="0"/>
    <n v="33"/>
    <x v="0"/>
    <x v="2"/>
    <n v="14.6"/>
    <n v="512"/>
    <n v="0.3"/>
    <n v="2"/>
    <n v="0"/>
    <m/>
    <x v="157"/>
    <d v="2023-02-03T00:00:00"/>
  </r>
  <r>
    <x v="171"/>
    <x v="6"/>
    <n v="42"/>
    <x v="3"/>
    <x v="2"/>
    <n v="14.8"/>
    <n v="563"/>
    <n v="0.3"/>
    <n v="2"/>
    <n v="0"/>
    <n v="7.99"/>
    <x v="158"/>
    <d v="2024-05-17T00:00:00"/>
  </r>
  <r>
    <x v="172"/>
    <x v="6"/>
    <n v="60"/>
    <x v="3"/>
    <x v="2"/>
    <n v="7.9"/>
    <n v="533"/>
    <n v="0.2"/>
    <n v="2"/>
    <n v="0"/>
    <n v="7.99"/>
    <x v="159"/>
    <d v="2023-02-20T00:00:00"/>
  </r>
  <r>
    <x v="173"/>
    <x v="6"/>
    <n v="59"/>
    <x v="1"/>
    <x v="2"/>
    <n v="0.8"/>
    <n v="484"/>
    <n v="0.3"/>
    <n v="2"/>
    <n v="1"/>
    <n v="12.99"/>
    <x v="160"/>
    <d v="2022-06-05T00:00:00"/>
  </r>
  <r>
    <x v="174"/>
    <x v="1"/>
    <n v="40"/>
    <x v="3"/>
    <x v="2"/>
    <n v="7.7"/>
    <n v="493"/>
    <n v="0.2"/>
    <n v="2"/>
    <n v="0"/>
    <n v="7.99"/>
    <x v="161"/>
    <d v="2022-07-09T00:00:00"/>
  </r>
  <r>
    <x v="175"/>
    <x v="2"/>
    <n v="44"/>
    <x v="1"/>
    <x v="2"/>
    <n v="10.5"/>
    <n v="515"/>
    <n v="0.1"/>
    <n v="2"/>
    <n v="0"/>
    <n v="5"/>
    <x v="162"/>
    <d v="2023-11-29T00:00:00"/>
  </r>
  <r>
    <x v="176"/>
    <x v="3"/>
    <n v="23"/>
    <x v="1"/>
    <x v="2"/>
    <n v="7.8"/>
    <n v="504"/>
    <n v="0.3"/>
    <n v="2"/>
    <n v="1"/>
    <n v="5"/>
    <x v="163"/>
    <d v="2022-09-20T00:00:00"/>
  </r>
  <r>
    <x v="177"/>
    <x v="8"/>
    <n v="15"/>
    <x v="1"/>
    <x v="2"/>
    <n v="13.2"/>
    <n v="490"/>
    <n v="0.05"/>
    <n v="2"/>
    <n v="0"/>
    <n v="5"/>
    <x v="164"/>
    <d v="2023-01-11T00:00:00"/>
  </r>
  <r>
    <x v="178"/>
    <x v="1"/>
    <n v="63"/>
    <x v="1"/>
    <x v="2"/>
    <n v="12.4"/>
    <n v="543"/>
    <n v="0.1"/>
    <n v="2"/>
    <n v="0"/>
    <n v="12.99"/>
    <x v="165"/>
    <d v="2024-12-08T00:00:00"/>
  </r>
  <r>
    <x v="179"/>
    <x v="7"/>
    <n v="34"/>
    <x v="1"/>
    <x v="2"/>
    <n v="5.9"/>
    <n v="489"/>
    <n v="0.1"/>
    <n v="2"/>
    <n v="0"/>
    <n v="9.99"/>
    <x v="166"/>
    <d v="2024-08-17T00:00:00"/>
  </r>
  <r>
    <x v="180"/>
    <x v="6"/>
    <n v="28"/>
    <x v="3"/>
    <x v="2"/>
    <n v="21.7"/>
    <n v="512"/>
    <n v="0.15"/>
    <n v="2"/>
    <n v="1"/>
    <n v="7.99"/>
    <x v="167"/>
    <d v="2023-12-24T00:00:00"/>
  </r>
  <r>
    <x v="181"/>
    <x v="1"/>
    <n v="30"/>
    <x v="3"/>
    <x v="2"/>
    <n v="8.1999999999999993"/>
    <n v="510"/>
    <n v="0.1"/>
    <n v="2"/>
    <n v="1"/>
    <n v="9.99"/>
    <x v="168"/>
    <d v="2023-04-14T00:00:00"/>
  </r>
  <r>
    <x v="182"/>
    <x v="1"/>
    <n v="56"/>
    <x v="2"/>
    <x v="2"/>
    <n v="6.5"/>
    <n v="517"/>
    <n v="0.05"/>
    <n v="2"/>
    <n v="0"/>
    <n v="7.99"/>
    <x v="98"/>
    <d v="2022-01-17T00:00:00"/>
  </r>
  <r>
    <x v="183"/>
    <x v="0"/>
    <n v="27"/>
    <x v="1"/>
    <x v="2"/>
    <n v="11.6"/>
    <n v="509"/>
    <n v="0.2"/>
    <n v="2"/>
    <n v="0"/>
    <n v="9.99"/>
    <x v="169"/>
    <d v="2023-12-30T00:00:00"/>
  </r>
  <r>
    <x v="184"/>
    <x v="1"/>
    <n v="34"/>
    <x v="3"/>
    <x v="2"/>
    <n v="10.4"/>
    <n v="469"/>
    <n v="0.3"/>
    <n v="2"/>
    <n v="1"/>
    <m/>
    <x v="116"/>
    <d v="2023-05-11T00:00:00"/>
  </r>
  <r>
    <x v="185"/>
    <x v="4"/>
    <n v="26"/>
    <x v="1"/>
    <x v="2"/>
    <n v="8.9"/>
    <n v="475"/>
    <n v="0.2"/>
    <n v="2"/>
    <n v="0"/>
    <n v="7.99"/>
    <x v="170"/>
    <d v="2022-08-19T00:00:00"/>
  </r>
  <r>
    <x v="186"/>
    <x v="4"/>
    <n v="55"/>
    <x v="1"/>
    <x v="2"/>
    <n v="12.1"/>
    <n v="512"/>
    <n v="0.15"/>
    <n v="2"/>
    <n v="0"/>
    <n v="12.99"/>
    <x v="171"/>
    <d v="2023-06-15T00:00:00"/>
  </r>
  <r>
    <x v="187"/>
    <x v="5"/>
    <n v="23"/>
    <x v="1"/>
    <x v="2"/>
    <n v="11.5"/>
    <n v="510"/>
    <n v="0.05"/>
    <n v="2"/>
    <n v="0"/>
    <n v="7.99"/>
    <x v="172"/>
    <d v="2024-03-21T00:00:00"/>
  </r>
  <r>
    <x v="120"/>
    <x v="1"/>
    <n v="50"/>
    <x v="1"/>
    <x v="2"/>
    <n v="9.1"/>
    <n v="484"/>
    <n v="0.25"/>
    <n v="2"/>
    <n v="0"/>
    <n v="12.99"/>
    <x v="173"/>
    <d v="2023-07-25T00:00:00"/>
  </r>
  <r>
    <x v="188"/>
    <x v="4"/>
    <n v="63"/>
    <x v="1"/>
    <x v="2"/>
    <n v="5.2"/>
    <n v="501"/>
    <n v="0.3"/>
    <n v="2"/>
    <n v="1"/>
    <n v="12.99"/>
    <x v="174"/>
    <d v="2022-10-21T00:00:00"/>
  </r>
  <r>
    <x v="189"/>
    <x v="8"/>
    <n v="40"/>
    <x v="1"/>
    <x v="2"/>
    <n v="10.199999999999999"/>
    <n v="485"/>
    <n v="0.1"/>
    <n v="2"/>
    <n v="1"/>
    <n v="7.99"/>
    <x v="175"/>
    <d v="2023-11-23T00:00:00"/>
  </r>
  <r>
    <x v="190"/>
    <x v="0"/>
    <n v="38"/>
    <x v="2"/>
    <x v="2"/>
    <n v="9"/>
    <n v="523"/>
    <n v="0.1"/>
    <n v="2"/>
    <n v="0"/>
    <n v="5"/>
    <x v="176"/>
    <d v="2023-01-31T00:00:00"/>
  </r>
  <r>
    <x v="191"/>
    <x v="1"/>
    <n v="49"/>
    <x v="3"/>
    <x v="2"/>
    <n v="3.7"/>
    <n v="479"/>
    <n v="0.15"/>
    <n v="2"/>
    <n v="0"/>
    <n v="5"/>
    <x v="177"/>
    <d v="2022-12-12T00:00:00"/>
  </r>
  <r>
    <x v="192"/>
    <x v="8"/>
    <n v="36"/>
    <x v="1"/>
    <x v="3"/>
    <n v="19.3"/>
    <n v="530"/>
    <n v="0.15"/>
    <n v="2"/>
    <n v="0"/>
    <n v="7.99"/>
    <x v="53"/>
    <d v="2023-02-10T00:00:00"/>
  </r>
  <r>
    <x v="193"/>
    <x v="1"/>
    <n v="60"/>
    <x v="0"/>
    <x v="3"/>
    <n v="20.3"/>
    <n v="498"/>
    <n v="0.2"/>
    <n v="2"/>
    <n v="1"/>
    <n v="9.99"/>
    <x v="178"/>
    <d v="2022-03-01T00:00:00"/>
  </r>
  <r>
    <x v="194"/>
    <x v="2"/>
    <n v="63"/>
    <x v="2"/>
    <x v="3"/>
    <n v="6.4"/>
    <n v="541"/>
    <n v="0.1"/>
    <n v="2"/>
    <n v="1"/>
    <m/>
    <x v="179"/>
    <d v="2024-05-04T00:00:00"/>
  </r>
  <r>
    <x v="195"/>
    <x v="5"/>
    <n v="59"/>
    <x v="1"/>
    <x v="3"/>
    <n v="5.6"/>
    <n v="466"/>
    <n v="0.1"/>
    <n v="2"/>
    <n v="0"/>
    <n v="9.99"/>
    <x v="180"/>
    <d v="2023-09-23T00:00:00"/>
  </r>
  <r>
    <x v="196"/>
    <x v="6"/>
    <n v="15"/>
    <x v="1"/>
    <x v="3"/>
    <n v="11.9"/>
    <n v="521"/>
    <n v="0.15"/>
    <n v="2"/>
    <n v="1"/>
    <n v="9.99"/>
    <x v="181"/>
    <d v="2023-04-24T00:00:00"/>
  </r>
  <r>
    <x v="197"/>
    <x v="2"/>
    <n v="38"/>
    <x v="1"/>
    <x v="3"/>
    <n v="13.8"/>
    <n v="519"/>
    <n v="0.1"/>
    <n v="2"/>
    <n v="0"/>
    <n v="9.99"/>
    <x v="182"/>
    <d v="2023-04-10T00:00:00"/>
  </r>
  <r>
    <x v="198"/>
    <x v="7"/>
    <n v="26"/>
    <x v="2"/>
    <x v="3"/>
    <n v="15.8"/>
    <n v="494"/>
    <n v="0.25"/>
    <n v="2"/>
    <n v="0"/>
    <n v="9.99"/>
    <x v="54"/>
    <d v="2023-04-25T00:00:00"/>
  </r>
  <r>
    <x v="199"/>
    <x v="3"/>
    <n v="49"/>
    <x v="3"/>
    <x v="3"/>
    <n v="15.7"/>
    <n v="532"/>
    <n v="0.05"/>
    <n v="2"/>
    <n v="0"/>
    <m/>
    <x v="183"/>
    <d v="2023-03-29T00:00:00"/>
  </r>
  <r>
    <x v="200"/>
    <x v="4"/>
    <n v="27"/>
    <x v="1"/>
    <x v="3"/>
    <n v="3.3"/>
    <n v="487"/>
    <n v="0.15"/>
    <n v="2"/>
    <n v="0"/>
    <n v="7.99"/>
    <x v="184"/>
    <d v="2023-11-05T00:00:00"/>
  </r>
  <r>
    <x v="201"/>
    <x v="1"/>
    <n v="49"/>
    <x v="3"/>
    <x v="3"/>
    <n v="13.2"/>
    <n v="476"/>
    <n v="0.05"/>
    <n v="2"/>
    <n v="0"/>
    <n v="7.99"/>
    <x v="185"/>
    <d v="2024-05-01T00:00:00"/>
  </r>
  <r>
    <x v="202"/>
    <x v="4"/>
    <n v="59"/>
    <x v="1"/>
    <x v="3"/>
    <n v="23.6"/>
    <n v="495"/>
    <n v="0.05"/>
    <n v="2"/>
    <n v="1"/>
    <n v="5"/>
    <x v="186"/>
    <d v="2023-07-31T00:00:00"/>
  </r>
  <r>
    <x v="203"/>
    <x v="6"/>
    <n v="28"/>
    <x v="1"/>
    <x v="3"/>
    <n v="5.6"/>
    <n v="507"/>
    <n v="0.1"/>
    <n v="2"/>
    <n v="1"/>
    <m/>
    <x v="187"/>
    <d v="2023-05-27T00:00:00"/>
  </r>
  <r>
    <x v="120"/>
    <x v="6"/>
    <n v="40"/>
    <x v="3"/>
    <x v="3"/>
    <n v="5"/>
    <n v="488"/>
    <n v="0.1"/>
    <n v="2"/>
    <n v="0"/>
    <n v="7.99"/>
    <x v="188"/>
    <d v="2024-05-02T00:00:00"/>
  </r>
  <r>
    <x v="204"/>
    <x v="8"/>
    <n v="26"/>
    <x v="1"/>
    <x v="3"/>
    <n v="11.4"/>
    <n v="513"/>
    <n v="0.1"/>
    <n v="2"/>
    <n v="1"/>
    <n v="9.99"/>
    <x v="189"/>
    <d v="2024-03-13T00:00:00"/>
  </r>
  <r>
    <x v="205"/>
    <x v="5"/>
    <n v="26"/>
    <x v="3"/>
    <x v="3"/>
    <n v="12.9"/>
    <n v="464"/>
    <n v="0.2"/>
    <n v="2"/>
    <n v="0"/>
    <n v="5"/>
    <x v="190"/>
    <d v="2022-07-31T00:00:00"/>
  </r>
  <r>
    <x v="206"/>
    <x v="8"/>
    <n v="24"/>
    <x v="3"/>
    <x v="3"/>
    <n v="10.9"/>
    <n v="500"/>
    <n v="0.05"/>
    <n v="2"/>
    <n v="0"/>
    <n v="5"/>
    <x v="191"/>
    <d v="2024-01-31T00:00:00"/>
  </r>
  <r>
    <x v="207"/>
    <x v="6"/>
    <n v="37"/>
    <x v="1"/>
    <x v="3"/>
    <n v="12"/>
    <n v="456"/>
    <n v="0.05"/>
    <n v="2"/>
    <n v="0"/>
    <n v="9.99"/>
    <x v="192"/>
    <d v="2022-05-11T00:00:00"/>
  </r>
  <r>
    <x v="208"/>
    <x v="0"/>
    <n v="29"/>
    <x v="1"/>
    <x v="3"/>
    <n v="9.6"/>
    <n v="482"/>
    <n v="0.3"/>
    <n v="2"/>
    <n v="1"/>
    <n v="9.99"/>
    <x v="193"/>
    <d v="2022-04-22T00:00:00"/>
  </r>
  <r>
    <x v="209"/>
    <x v="6"/>
    <n v="61"/>
    <x v="2"/>
    <x v="3"/>
    <n v="6.9"/>
    <n v="519"/>
    <n v="0.15"/>
    <n v="2"/>
    <n v="1"/>
    <n v="12.99"/>
    <x v="194"/>
    <d v="2022-12-13T00:00:00"/>
  </r>
  <r>
    <x v="210"/>
    <x v="1"/>
    <n v="53"/>
    <x v="2"/>
    <x v="3"/>
    <n v="1.5"/>
    <n v="466"/>
    <n v="0.25"/>
    <n v="2"/>
    <n v="0"/>
    <n v="9.99"/>
    <x v="195"/>
    <d v="2024-07-08T00:00:00"/>
  </r>
  <r>
    <x v="211"/>
    <x v="7"/>
    <n v="37"/>
    <x v="0"/>
    <x v="3"/>
    <n v="12.4"/>
    <n v="531"/>
    <n v="0.1"/>
    <n v="2"/>
    <n v="0"/>
    <n v="9.99"/>
    <x v="196"/>
    <d v="2023-06-14T00:00:00"/>
  </r>
  <r>
    <x v="212"/>
    <x v="2"/>
    <n v="39"/>
    <x v="3"/>
    <x v="3"/>
    <n v="8"/>
    <n v="486"/>
    <n v="0.25"/>
    <n v="2"/>
    <n v="1"/>
    <n v="9.99"/>
    <x v="197"/>
    <d v="2024-04-18T00:00:00"/>
  </r>
  <r>
    <x v="213"/>
    <x v="0"/>
    <n v="17"/>
    <x v="1"/>
    <x v="3"/>
    <n v="11.1"/>
    <n v="511"/>
    <n v="0.05"/>
    <n v="2"/>
    <n v="0"/>
    <n v="5"/>
    <x v="198"/>
    <d v="2024-05-15T00:00:00"/>
  </r>
  <r>
    <x v="214"/>
    <x v="3"/>
    <n v="20"/>
    <x v="3"/>
    <x v="3"/>
    <n v="16.600000000000001"/>
    <n v="501"/>
    <n v="0.2"/>
    <n v="2"/>
    <n v="0"/>
    <n v="5"/>
    <x v="199"/>
    <d v="2024-07-16T00:00:00"/>
  </r>
  <r>
    <x v="215"/>
    <x v="6"/>
    <n v="42"/>
    <x v="3"/>
    <x v="3"/>
    <n v="13.2"/>
    <n v="458"/>
    <n v="0.15"/>
    <n v="2"/>
    <n v="1"/>
    <m/>
    <x v="200"/>
    <d v="2023-07-15T00:00:00"/>
  </r>
  <r>
    <x v="216"/>
    <x v="2"/>
    <n v="44"/>
    <x v="3"/>
    <x v="3"/>
    <n v="15.6"/>
    <n v="521"/>
    <n v="0.25"/>
    <n v="2"/>
    <n v="1"/>
    <n v="7.99"/>
    <x v="201"/>
    <d v="2022-06-26T00:00:00"/>
  </r>
  <r>
    <x v="217"/>
    <x v="6"/>
    <n v="35"/>
    <x v="3"/>
    <x v="3"/>
    <n v="11.3"/>
    <n v="504"/>
    <n v="0.1"/>
    <n v="2"/>
    <n v="0"/>
    <n v="5"/>
    <x v="202"/>
    <d v="2022-05-13T00:00:00"/>
  </r>
  <r>
    <x v="218"/>
    <x v="2"/>
    <n v="14"/>
    <x v="1"/>
    <x v="3"/>
    <n v="6.3"/>
    <n v="491"/>
    <n v="0.2"/>
    <n v="2"/>
    <n v="0"/>
    <n v="7.99"/>
    <x v="203"/>
    <d v="2024-01-21T00:00:00"/>
  </r>
  <r>
    <x v="219"/>
    <x v="2"/>
    <n v="22"/>
    <x v="1"/>
    <x v="3"/>
    <n v="10.6"/>
    <n v="537"/>
    <n v="0.1"/>
    <n v="2"/>
    <n v="1"/>
    <n v="12.99"/>
    <x v="157"/>
    <d v="2023-02-03T00:00:00"/>
  </r>
  <r>
    <x v="220"/>
    <x v="7"/>
    <n v="34"/>
    <x v="1"/>
    <x v="3"/>
    <n v="19.5"/>
    <n v="533"/>
    <n v="0.05"/>
    <n v="2"/>
    <n v="0"/>
    <m/>
    <x v="116"/>
    <d v="2023-05-11T00:00:00"/>
  </r>
  <r>
    <x v="221"/>
    <x v="6"/>
    <n v="19"/>
    <x v="1"/>
    <x v="0"/>
    <n v="8.9"/>
    <n v="528"/>
    <n v="0.1"/>
    <n v="3"/>
    <n v="0"/>
    <n v="9.99"/>
    <x v="204"/>
    <d v="2024-03-29T00:00:00"/>
  </r>
  <r>
    <x v="222"/>
    <x v="6"/>
    <n v="30"/>
    <x v="3"/>
    <x v="0"/>
    <n v="8.9"/>
    <n v="493"/>
    <n v="0.05"/>
    <n v="3"/>
    <n v="0"/>
    <n v="9.99"/>
    <x v="205"/>
    <d v="2024-06-19T00:00:00"/>
  </r>
  <r>
    <x v="223"/>
    <x v="6"/>
    <n v="27"/>
    <x v="3"/>
    <x v="0"/>
    <n v="23.4"/>
    <n v="536"/>
    <n v="0.15"/>
    <n v="3"/>
    <n v="0"/>
    <m/>
    <x v="82"/>
    <d v="2022-12-15T00:00:00"/>
  </r>
  <r>
    <x v="224"/>
    <x v="7"/>
    <n v="37"/>
    <x v="3"/>
    <x v="0"/>
    <n v="10.1"/>
    <n v="510"/>
    <n v="0.1"/>
    <n v="3"/>
    <n v="0"/>
    <n v="7.99"/>
    <x v="203"/>
    <d v="2024-01-21T00:00:00"/>
  </r>
  <r>
    <x v="225"/>
    <x v="6"/>
    <n v="21"/>
    <x v="1"/>
    <x v="0"/>
    <n v="16.100000000000001"/>
    <n v="497"/>
    <n v="0.2"/>
    <n v="3"/>
    <n v="0"/>
    <n v="9.99"/>
    <x v="176"/>
    <d v="2023-01-31T00:00:00"/>
  </r>
  <r>
    <x v="226"/>
    <x v="5"/>
    <n v="51"/>
    <x v="1"/>
    <x v="0"/>
    <n v="7.5"/>
    <n v="487"/>
    <n v="0.3"/>
    <n v="3"/>
    <n v="0"/>
    <n v="9.99"/>
    <x v="206"/>
    <d v="2022-11-26T00:00:00"/>
  </r>
  <r>
    <x v="227"/>
    <x v="6"/>
    <n v="14"/>
    <x v="1"/>
    <x v="0"/>
    <n v="12.4"/>
    <n v="490"/>
    <n v="0.1"/>
    <n v="3"/>
    <n v="0"/>
    <m/>
    <x v="207"/>
    <d v="2022-12-08T00:00:00"/>
  </r>
  <r>
    <x v="228"/>
    <x v="6"/>
    <n v="30"/>
    <x v="0"/>
    <x v="0"/>
    <n v="7"/>
    <n v="494"/>
    <n v="0.2"/>
    <n v="3"/>
    <n v="1"/>
    <n v="9.99"/>
    <x v="208"/>
    <d v="2022-07-11T00:00:00"/>
  </r>
  <r>
    <x v="229"/>
    <x v="6"/>
    <n v="35"/>
    <x v="2"/>
    <x v="0"/>
    <n v="9.1999999999999993"/>
    <n v="491"/>
    <n v="0.05"/>
    <n v="3"/>
    <n v="0"/>
    <m/>
    <x v="209"/>
    <d v="2022-12-17T00:00:00"/>
  </r>
  <r>
    <x v="230"/>
    <x v="3"/>
    <n v="40"/>
    <x v="3"/>
    <x v="0"/>
    <n v="5.7"/>
    <n v="453"/>
    <n v="0.1"/>
    <n v="3"/>
    <n v="1"/>
    <n v="7.99"/>
    <x v="210"/>
    <d v="2024-07-21T00:00:00"/>
  </r>
  <r>
    <x v="231"/>
    <x v="4"/>
    <n v="49"/>
    <x v="2"/>
    <x v="0"/>
    <n v="11"/>
    <n v="486"/>
    <n v="0.1"/>
    <n v="3"/>
    <n v="0"/>
    <m/>
    <x v="160"/>
    <d v="2022-06-05T00:00:00"/>
  </r>
  <r>
    <x v="232"/>
    <x v="5"/>
    <n v="33"/>
    <x v="1"/>
    <x v="0"/>
    <n v="11.7"/>
    <n v="469"/>
    <n v="0.2"/>
    <n v="3"/>
    <n v="0"/>
    <n v="9.99"/>
    <x v="16"/>
    <d v="2024-08-04T00:00:00"/>
  </r>
  <r>
    <x v="233"/>
    <x v="6"/>
    <n v="38"/>
    <x v="3"/>
    <x v="0"/>
    <n v="16.100000000000001"/>
    <n v="456"/>
    <n v="0.1"/>
    <n v="3"/>
    <n v="0"/>
    <n v="7.99"/>
    <x v="211"/>
    <d v="2022-04-28T00:00:00"/>
  </r>
  <r>
    <x v="234"/>
    <x v="6"/>
    <n v="15"/>
    <x v="3"/>
    <x v="0"/>
    <n v="1.4"/>
    <n v="511"/>
    <n v="0.1"/>
    <n v="3"/>
    <n v="0"/>
    <n v="12.99"/>
    <x v="212"/>
    <d v="2022-11-24T00:00:00"/>
  </r>
  <r>
    <x v="235"/>
    <x v="3"/>
    <n v="34"/>
    <x v="1"/>
    <x v="0"/>
    <n v="5.2"/>
    <n v="487"/>
    <n v="0.1"/>
    <n v="3"/>
    <n v="0"/>
    <n v="5"/>
    <x v="213"/>
    <d v="2024-01-24T00:00:00"/>
  </r>
  <r>
    <x v="236"/>
    <x v="5"/>
    <n v="19"/>
    <x v="1"/>
    <x v="0"/>
    <n v="7.3"/>
    <n v="519"/>
    <n v="0.1"/>
    <n v="3"/>
    <n v="0"/>
    <n v="9.99"/>
    <x v="214"/>
    <d v="2022-09-19T00:00:00"/>
  </r>
  <r>
    <x v="237"/>
    <x v="1"/>
    <n v="47"/>
    <x v="3"/>
    <x v="0"/>
    <n v="5.8"/>
    <n v="549"/>
    <n v="0.25"/>
    <n v="3"/>
    <n v="0"/>
    <n v="5"/>
    <x v="105"/>
    <d v="2023-05-08T00:00:00"/>
  </r>
  <r>
    <x v="238"/>
    <x v="2"/>
    <n v="45"/>
    <x v="2"/>
    <x v="0"/>
    <n v="5.7"/>
    <n v="484"/>
    <n v="0.3"/>
    <n v="3"/>
    <n v="1"/>
    <n v="7.99"/>
    <x v="215"/>
    <d v="2022-11-11T00:00:00"/>
  </r>
  <r>
    <x v="239"/>
    <x v="1"/>
    <n v="22"/>
    <x v="2"/>
    <x v="0"/>
    <n v="14.4"/>
    <n v="493"/>
    <n v="0.25"/>
    <n v="3"/>
    <n v="1"/>
    <n v="9.99"/>
    <x v="216"/>
    <d v="2024-04-27T00:00:00"/>
  </r>
  <r>
    <x v="240"/>
    <x v="4"/>
    <n v="24"/>
    <x v="1"/>
    <x v="0"/>
    <n v="7.8"/>
    <n v="486"/>
    <n v="0.3"/>
    <n v="3"/>
    <n v="0"/>
    <n v="12.99"/>
    <x v="217"/>
    <d v="2022-09-01T00:00:00"/>
  </r>
  <r>
    <x v="241"/>
    <x v="6"/>
    <n v="40"/>
    <x v="3"/>
    <x v="0"/>
    <n v="0.7"/>
    <n v="534"/>
    <n v="0.1"/>
    <n v="3"/>
    <n v="0"/>
    <m/>
    <x v="218"/>
    <d v="2022-04-14T00:00:00"/>
  </r>
  <r>
    <x v="242"/>
    <x v="8"/>
    <n v="63"/>
    <x v="3"/>
    <x v="0"/>
    <n v="16.100000000000001"/>
    <n v="522"/>
    <n v="0.1"/>
    <n v="3"/>
    <n v="1"/>
    <n v="7.99"/>
    <x v="219"/>
    <d v="2022-11-09T00:00:00"/>
  </r>
  <r>
    <x v="243"/>
    <x v="2"/>
    <n v="64"/>
    <x v="3"/>
    <x v="0"/>
    <n v="13.3"/>
    <n v="501"/>
    <n v="0.25"/>
    <n v="3"/>
    <n v="0"/>
    <n v="7.99"/>
    <x v="220"/>
    <d v="2024-07-13T00:00:00"/>
  </r>
  <r>
    <x v="244"/>
    <x v="4"/>
    <n v="19"/>
    <x v="3"/>
    <x v="0"/>
    <n v="0.8"/>
    <n v="502"/>
    <n v="0.15"/>
    <n v="3"/>
    <n v="0"/>
    <n v="7.99"/>
    <x v="221"/>
    <d v="2022-10-27T00:00:00"/>
  </r>
  <r>
    <x v="245"/>
    <x v="6"/>
    <n v="30"/>
    <x v="2"/>
    <x v="0"/>
    <n v="15.7"/>
    <n v="494"/>
    <n v="0.05"/>
    <n v="3"/>
    <n v="0"/>
    <m/>
    <x v="222"/>
    <d v="2022-05-12T00:00:00"/>
  </r>
  <r>
    <x v="246"/>
    <x v="1"/>
    <n v="24"/>
    <x v="3"/>
    <x v="0"/>
    <n v="6.7"/>
    <n v="505"/>
    <n v="0.3"/>
    <n v="3"/>
    <n v="1"/>
    <n v="9.99"/>
    <x v="223"/>
    <d v="2022-04-10T00:00:00"/>
  </r>
  <r>
    <x v="247"/>
    <x v="7"/>
    <n v="64"/>
    <x v="0"/>
    <x v="0"/>
    <n v="19.8"/>
    <n v="480"/>
    <n v="0.1"/>
    <n v="3"/>
    <n v="0"/>
    <n v="7.99"/>
    <x v="224"/>
    <d v="2023-11-22T00:00:00"/>
  </r>
  <r>
    <x v="248"/>
    <x v="7"/>
    <n v="29"/>
    <x v="3"/>
    <x v="0"/>
    <n v="14.2"/>
    <n v="487"/>
    <n v="0.3"/>
    <n v="3"/>
    <n v="0"/>
    <n v="9.99"/>
    <x v="225"/>
    <d v="2023-04-22T00:00:00"/>
  </r>
  <r>
    <x v="249"/>
    <x v="2"/>
    <n v="15"/>
    <x v="3"/>
    <x v="0"/>
    <n v="7.9"/>
    <n v="528"/>
    <n v="0.1"/>
    <n v="3"/>
    <n v="0"/>
    <n v="7.99"/>
    <x v="226"/>
    <d v="2023-06-26T00:00:00"/>
  </r>
  <r>
    <x v="250"/>
    <x v="6"/>
    <n v="61"/>
    <x v="3"/>
    <x v="0"/>
    <n v="19"/>
    <n v="451"/>
    <n v="0.15"/>
    <n v="3"/>
    <n v="0"/>
    <n v="9.99"/>
    <x v="227"/>
    <d v="2023-03-16T00:00:00"/>
  </r>
  <r>
    <x v="251"/>
    <x v="6"/>
    <n v="52"/>
    <x v="1"/>
    <x v="0"/>
    <n v="9.5"/>
    <n v="461"/>
    <n v="0.2"/>
    <n v="3"/>
    <n v="1"/>
    <n v="5"/>
    <x v="228"/>
    <d v="2022-09-27T00:00:00"/>
  </r>
  <r>
    <x v="252"/>
    <x v="2"/>
    <n v="42"/>
    <x v="1"/>
    <x v="0"/>
    <n v="11.7"/>
    <n v="477"/>
    <n v="0.2"/>
    <n v="3"/>
    <n v="0"/>
    <n v="9.99"/>
    <x v="229"/>
    <d v="2023-12-18T00:00:00"/>
  </r>
  <r>
    <x v="253"/>
    <x v="1"/>
    <n v="47"/>
    <x v="3"/>
    <x v="0"/>
    <n v="7.2"/>
    <n v="495"/>
    <n v="0.1"/>
    <n v="3"/>
    <n v="0"/>
    <n v="7.99"/>
    <x v="230"/>
    <d v="2023-12-01T00:00:00"/>
  </r>
  <r>
    <x v="254"/>
    <x v="6"/>
    <n v="22"/>
    <x v="1"/>
    <x v="0"/>
    <n v="7.8"/>
    <n v="505"/>
    <n v="0.05"/>
    <n v="3"/>
    <n v="1"/>
    <n v="9.99"/>
    <x v="231"/>
    <d v="2023-02-06T00:00:00"/>
  </r>
  <r>
    <x v="255"/>
    <x v="2"/>
    <n v="20"/>
    <x v="3"/>
    <x v="0"/>
    <n v="1"/>
    <n v="541"/>
    <n v="0.15"/>
    <n v="3"/>
    <n v="1"/>
    <n v="9.99"/>
    <x v="232"/>
    <d v="2023-06-30T00:00:00"/>
  </r>
  <r>
    <x v="256"/>
    <x v="1"/>
    <n v="52"/>
    <x v="2"/>
    <x v="0"/>
    <n v="1.4"/>
    <n v="511"/>
    <n v="0.3"/>
    <n v="3"/>
    <n v="0"/>
    <n v="5"/>
    <x v="64"/>
    <d v="2023-09-09T00:00:00"/>
  </r>
  <r>
    <x v="257"/>
    <x v="0"/>
    <n v="18"/>
    <x v="3"/>
    <x v="0"/>
    <n v="9.1"/>
    <n v="499"/>
    <n v="0.1"/>
    <n v="3"/>
    <n v="0"/>
    <n v="7.99"/>
    <x v="233"/>
    <d v="2024-07-14T00:00:00"/>
  </r>
  <r>
    <x v="258"/>
    <x v="8"/>
    <n v="18"/>
    <x v="3"/>
    <x v="0"/>
    <n v="9.6999999999999993"/>
    <n v="511"/>
    <n v="0.25"/>
    <n v="3"/>
    <n v="0"/>
    <m/>
    <x v="234"/>
    <d v="2022-07-30T00:00:00"/>
  </r>
  <r>
    <x v="259"/>
    <x v="0"/>
    <n v="49"/>
    <x v="1"/>
    <x v="0"/>
    <n v="9"/>
    <n v="486"/>
    <n v="0.2"/>
    <n v="3"/>
    <n v="0"/>
    <n v="9.99"/>
    <x v="235"/>
    <d v="2023-03-04T00:00:00"/>
  </r>
  <r>
    <x v="260"/>
    <x v="8"/>
    <n v="60"/>
    <x v="1"/>
    <x v="0"/>
    <n v="3.7"/>
    <n v="482"/>
    <n v="0.3"/>
    <n v="3"/>
    <n v="0"/>
    <n v="7.99"/>
    <x v="157"/>
    <d v="2023-02-03T00:00:00"/>
  </r>
  <r>
    <x v="261"/>
    <x v="4"/>
    <n v="20"/>
    <x v="3"/>
    <x v="0"/>
    <n v="14.7"/>
    <n v="506"/>
    <n v="0.15"/>
    <n v="3"/>
    <n v="0"/>
    <n v="12.99"/>
    <x v="236"/>
    <d v="2022-08-15T00:00:00"/>
  </r>
  <r>
    <x v="262"/>
    <x v="6"/>
    <n v="20"/>
    <x v="3"/>
    <x v="0"/>
    <n v="8.6999999999999993"/>
    <n v="476"/>
    <n v="0.2"/>
    <n v="3"/>
    <n v="0"/>
    <n v="7.99"/>
    <x v="237"/>
    <d v="2023-07-20T00:00:00"/>
  </r>
  <r>
    <x v="263"/>
    <x v="6"/>
    <n v="52"/>
    <x v="0"/>
    <x v="0"/>
    <n v="9.8000000000000007"/>
    <n v="507"/>
    <n v="0.2"/>
    <n v="3"/>
    <n v="0"/>
    <n v="7.99"/>
    <x v="238"/>
    <d v="2022-03-20T00:00:00"/>
  </r>
  <r>
    <x v="264"/>
    <x v="6"/>
    <n v="40"/>
    <x v="2"/>
    <x v="0"/>
    <n v="3.2"/>
    <n v="507"/>
    <n v="0.1"/>
    <n v="3"/>
    <n v="0"/>
    <n v="12.99"/>
    <x v="161"/>
    <d v="2022-07-09T00:00:00"/>
  </r>
  <r>
    <x v="265"/>
    <x v="6"/>
    <n v="40"/>
    <x v="3"/>
    <x v="0"/>
    <n v="10.4"/>
    <n v="490"/>
    <n v="0.1"/>
    <n v="3"/>
    <n v="0"/>
    <n v="5"/>
    <x v="239"/>
    <d v="2022-08-23T00:00:00"/>
  </r>
  <r>
    <x v="266"/>
    <x v="6"/>
    <n v="16"/>
    <x v="0"/>
    <x v="0"/>
    <n v="0.8"/>
    <n v="496"/>
    <n v="0.1"/>
    <n v="3"/>
    <n v="1"/>
    <n v="7.99"/>
    <x v="240"/>
    <d v="2022-11-08T00:00:00"/>
  </r>
  <r>
    <x v="267"/>
    <x v="1"/>
    <n v="17"/>
    <x v="2"/>
    <x v="0"/>
    <n v="9.5"/>
    <n v="506"/>
    <n v="0.05"/>
    <n v="3"/>
    <n v="0"/>
    <n v="9.99"/>
    <x v="241"/>
    <d v="2023-02-05T00:00:00"/>
  </r>
  <r>
    <x v="268"/>
    <x v="3"/>
    <n v="16"/>
    <x v="3"/>
    <x v="0"/>
    <n v="9.3000000000000007"/>
    <n v="534"/>
    <n v="0.1"/>
    <n v="3"/>
    <n v="1"/>
    <n v="5"/>
    <x v="242"/>
    <d v="2022-01-25T00:00:00"/>
  </r>
  <r>
    <x v="269"/>
    <x v="6"/>
    <n v="32"/>
    <x v="2"/>
    <x v="0"/>
    <n v="12"/>
    <n v="502"/>
    <n v="0.1"/>
    <n v="3"/>
    <n v="0"/>
    <n v="7.99"/>
    <x v="243"/>
    <d v="2023-07-02T00:00:00"/>
  </r>
  <r>
    <x v="270"/>
    <x v="7"/>
    <n v="25"/>
    <x v="1"/>
    <x v="0"/>
    <n v="12"/>
    <n v="505"/>
    <n v="0.25"/>
    <n v="3"/>
    <n v="0"/>
    <n v="9.99"/>
    <x v="244"/>
    <d v="2023-05-23T00:00:00"/>
  </r>
  <r>
    <x v="271"/>
    <x v="4"/>
    <n v="18"/>
    <x v="1"/>
    <x v="0"/>
    <n v="9.6999999999999993"/>
    <n v="499"/>
    <n v="0.1"/>
    <n v="3"/>
    <n v="1"/>
    <m/>
    <x v="245"/>
    <d v="2022-08-22T00:00:00"/>
  </r>
  <r>
    <x v="272"/>
    <x v="0"/>
    <n v="18"/>
    <x v="1"/>
    <x v="0"/>
    <n v="18.8"/>
    <n v="460"/>
    <n v="0.15"/>
    <n v="3"/>
    <n v="0"/>
    <m/>
    <x v="246"/>
    <d v="2023-03-18T00:00:00"/>
  </r>
  <r>
    <x v="273"/>
    <x v="1"/>
    <n v="36"/>
    <x v="0"/>
    <x v="0"/>
    <n v="7.8"/>
    <n v="503"/>
    <n v="0.05"/>
    <n v="3"/>
    <n v="0"/>
    <m/>
    <x v="66"/>
    <d v="2022-11-25T00:00:00"/>
  </r>
  <r>
    <x v="274"/>
    <x v="7"/>
    <n v="47"/>
    <x v="3"/>
    <x v="0"/>
    <n v="8.3000000000000007"/>
    <n v="500"/>
    <n v="0.05"/>
    <n v="3"/>
    <n v="0"/>
    <n v="9.99"/>
    <x v="247"/>
    <d v="2023-11-18T00:00:00"/>
  </r>
  <r>
    <x v="275"/>
    <x v="6"/>
    <n v="50"/>
    <x v="2"/>
    <x v="0"/>
    <n v="7.7"/>
    <n v="536"/>
    <n v="0.1"/>
    <n v="3"/>
    <n v="1"/>
    <m/>
    <x v="219"/>
    <d v="2022-11-09T00:00:00"/>
  </r>
  <r>
    <x v="276"/>
    <x v="7"/>
    <n v="46"/>
    <x v="1"/>
    <x v="0"/>
    <n v="10.5"/>
    <n v="520"/>
    <n v="0.1"/>
    <n v="3"/>
    <n v="0"/>
    <n v="5"/>
    <x v="248"/>
    <d v="2023-04-13T00:00:00"/>
  </r>
  <r>
    <x v="277"/>
    <x v="1"/>
    <n v="24"/>
    <x v="1"/>
    <x v="0"/>
    <n v="20.5"/>
    <n v="492"/>
    <n v="0.25"/>
    <n v="3"/>
    <n v="1"/>
    <n v="9.99"/>
    <x v="113"/>
    <d v="2022-08-17T00:00:00"/>
  </r>
  <r>
    <x v="120"/>
    <x v="1"/>
    <n v="61"/>
    <x v="1"/>
    <x v="0"/>
    <n v="16.100000000000001"/>
    <n v="494"/>
    <n v="0.3"/>
    <n v="3"/>
    <n v="1"/>
    <n v="9.99"/>
    <x v="240"/>
    <d v="2022-11-08T00:00:00"/>
  </r>
  <r>
    <x v="278"/>
    <x v="4"/>
    <n v="29"/>
    <x v="3"/>
    <x v="0"/>
    <n v="8.6999999999999993"/>
    <n v="530"/>
    <n v="0.1"/>
    <n v="3"/>
    <n v="0"/>
    <m/>
    <x v="179"/>
    <d v="2024-05-04T00:00:00"/>
  </r>
  <r>
    <x v="279"/>
    <x v="3"/>
    <n v="61"/>
    <x v="1"/>
    <x v="0"/>
    <n v="1.2"/>
    <n v="516"/>
    <n v="0.2"/>
    <n v="3"/>
    <n v="1"/>
    <n v="7.99"/>
    <x v="249"/>
    <d v="2022-01-30T00:00:00"/>
  </r>
  <r>
    <x v="280"/>
    <x v="1"/>
    <n v="38"/>
    <x v="3"/>
    <x v="0"/>
    <n v="2"/>
    <n v="484"/>
    <n v="0.05"/>
    <n v="3"/>
    <n v="0"/>
    <m/>
    <x v="250"/>
    <d v="2022-10-28T00:00:00"/>
  </r>
  <r>
    <x v="281"/>
    <x v="2"/>
    <n v="25"/>
    <x v="0"/>
    <x v="0"/>
    <n v="4.5"/>
    <n v="483"/>
    <n v="0.1"/>
    <n v="3"/>
    <n v="0"/>
    <m/>
    <x v="251"/>
    <d v="2023-01-09T00:00:00"/>
  </r>
  <r>
    <x v="282"/>
    <x v="0"/>
    <n v="18"/>
    <x v="1"/>
    <x v="0"/>
    <n v="6"/>
    <n v="473"/>
    <n v="0.25"/>
    <n v="3"/>
    <n v="1"/>
    <m/>
    <x v="252"/>
    <d v="2023-08-12T00:00:00"/>
  </r>
  <r>
    <x v="283"/>
    <x v="4"/>
    <n v="47"/>
    <x v="2"/>
    <x v="0"/>
    <n v="15.2"/>
    <n v="483"/>
    <n v="0.05"/>
    <n v="3"/>
    <n v="0"/>
    <n v="9.99"/>
    <x v="253"/>
    <d v="2022-05-27T00:00:00"/>
  </r>
  <r>
    <x v="284"/>
    <x v="5"/>
    <n v="32"/>
    <x v="0"/>
    <x v="1"/>
    <n v="11"/>
    <n v="504"/>
    <n v="0.1"/>
    <n v="3"/>
    <n v="1"/>
    <n v="0"/>
    <x v="131"/>
    <d v="2022-11-02T00:00:00"/>
  </r>
  <r>
    <x v="285"/>
    <x v="6"/>
    <n v="19"/>
    <x v="3"/>
    <x v="1"/>
    <n v="14.2"/>
    <n v="512"/>
    <n v="0.1"/>
    <n v="3"/>
    <n v="0"/>
    <n v="0"/>
    <x v="254"/>
    <d v="2022-05-07T00:00:00"/>
  </r>
  <r>
    <x v="286"/>
    <x v="1"/>
    <n v="48"/>
    <x v="3"/>
    <x v="1"/>
    <n v="10.199999999999999"/>
    <n v="482"/>
    <n v="0.15"/>
    <n v="3"/>
    <n v="0"/>
    <n v="0"/>
    <x v="255"/>
    <d v="2023-07-04T00:00:00"/>
  </r>
  <r>
    <x v="287"/>
    <x v="1"/>
    <n v="25"/>
    <x v="0"/>
    <x v="1"/>
    <n v="3.9"/>
    <n v="513"/>
    <n v="0.1"/>
    <n v="3"/>
    <n v="0"/>
    <n v="0"/>
    <x v="256"/>
    <d v="2022-12-30T00:00:00"/>
  </r>
  <r>
    <x v="288"/>
    <x v="0"/>
    <n v="52"/>
    <x v="1"/>
    <x v="1"/>
    <n v="9.1"/>
    <n v="478"/>
    <n v="0.25"/>
    <n v="3"/>
    <n v="0"/>
    <n v="0"/>
    <x v="257"/>
    <d v="2024-03-23T00:00:00"/>
  </r>
  <r>
    <x v="289"/>
    <x v="0"/>
    <n v="34"/>
    <x v="0"/>
    <x v="1"/>
    <n v="5.8"/>
    <n v="496"/>
    <n v="0.1"/>
    <n v="3"/>
    <n v="0"/>
    <n v="0"/>
    <x v="258"/>
    <d v="2022-07-12T00:00:00"/>
  </r>
  <r>
    <x v="290"/>
    <x v="6"/>
    <n v="55"/>
    <x v="3"/>
    <x v="1"/>
    <n v="4.0999999999999996"/>
    <n v="539"/>
    <n v="0.2"/>
    <n v="3"/>
    <n v="1"/>
    <n v="0"/>
    <x v="259"/>
    <d v="2023-11-15T00:00:00"/>
  </r>
  <r>
    <x v="291"/>
    <x v="2"/>
    <n v="20"/>
    <x v="1"/>
    <x v="1"/>
    <n v="15"/>
    <n v="505"/>
    <n v="0.1"/>
    <n v="3"/>
    <n v="0"/>
    <n v="0"/>
    <x v="260"/>
    <d v="2023-09-20T00:00:00"/>
  </r>
  <r>
    <x v="292"/>
    <x v="0"/>
    <n v="46"/>
    <x v="2"/>
    <x v="1"/>
    <n v="5.4"/>
    <n v="495"/>
    <n v="0.1"/>
    <n v="3"/>
    <n v="0"/>
    <n v="0"/>
    <x v="220"/>
    <d v="2024-07-13T00:00:00"/>
  </r>
  <r>
    <x v="293"/>
    <x v="6"/>
    <n v="42"/>
    <x v="1"/>
    <x v="1"/>
    <n v="15.1"/>
    <n v="512"/>
    <n v="0.25"/>
    <n v="3"/>
    <n v="0"/>
    <n v="0"/>
    <x v="261"/>
    <d v="2024-08-19T00:00:00"/>
  </r>
  <r>
    <x v="294"/>
    <x v="2"/>
    <n v="42"/>
    <x v="1"/>
    <x v="1"/>
    <n v="12.6"/>
    <n v="497"/>
    <n v="0.1"/>
    <n v="3"/>
    <n v="1"/>
    <n v="0"/>
    <x v="262"/>
    <d v="2022-06-04T00:00:00"/>
  </r>
  <r>
    <x v="295"/>
    <x v="4"/>
    <n v="52"/>
    <x v="1"/>
    <x v="1"/>
    <n v="15.9"/>
    <n v="499"/>
    <n v="0.3"/>
    <n v="3"/>
    <n v="0"/>
    <n v="0"/>
    <x v="263"/>
    <d v="2022-02-23T00:00:00"/>
  </r>
  <r>
    <x v="296"/>
    <x v="2"/>
    <n v="41"/>
    <x v="3"/>
    <x v="1"/>
    <n v="12.1"/>
    <n v="500"/>
    <n v="0.2"/>
    <n v="3"/>
    <n v="0"/>
    <n v="0"/>
    <x v="264"/>
    <d v="2022-12-02T00:00:00"/>
  </r>
  <r>
    <x v="297"/>
    <x v="6"/>
    <n v="24"/>
    <x v="3"/>
    <x v="1"/>
    <n v="7.2"/>
    <n v="485"/>
    <n v="0.3"/>
    <n v="3"/>
    <n v="0"/>
    <n v="0"/>
    <x v="265"/>
    <d v="2022-09-21T00:00:00"/>
  </r>
  <r>
    <x v="298"/>
    <x v="8"/>
    <n v="21"/>
    <x v="1"/>
    <x v="1"/>
    <n v="13.2"/>
    <n v="512"/>
    <n v="0.1"/>
    <n v="3"/>
    <n v="0"/>
    <n v="0"/>
    <x v="266"/>
    <d v="2022-01-22T00:00:00"/>
  </r>
  <r>
    <x v="299"/>
    <x v="6"/>
    <n v="21"/>
    <x v="3"/>
    <x v="1"/>
    <n v="11.3"/>
    <n v="506"/>
    <n v="0.2"/>
    <n v="3"/>
    <n v="0"/>
    <n v="0"/>
    <x v="267"/>
    <d v="2022-08-05T00:00:00"/>
  </r>
  <r>
    <x v="300"/>
    <x v="3"/>
    <n v="31"/>
    <x v="3"/>
    <x v="1"/>
    <n v="4.4000000000000004"/>
    <n v="486"/>
    <n v="0.3"/>
    <n v="3"/>
    <n v="1"/>
    <n v="0"/>
    <x v="268"/>
    <d v="2022-05-01T00:00:00"/>
  </r>
  <r>
    <x v="301"/>
    <x v="3"/>
    <n v="23"/>
    <x v="2"/>
    <x v="1"/>
    <n v="14.3"/>
    <n v="507"/>
    <n v="0.1"/>
    <n v="3"/>
    <n v="0"/>
    <n v="0"/>
    <x v="115"/>
    <d v="2023-10-11T00:00:00"/>
  </r>
  <r>
    <x v="302"/>
    <x v="3"/>
    <n v="29"/>
    <x v="0"/>
    <x v="1"/>
    <n v="4.4000000000000004"/>
    <n v="493"/>
    <n v="0.15"/>
    <n v="3"/>
    <n v="0"/>
    <n v="0"/>
    <x v="269"/>
    <d v="2024-05-26T00:00:00"/>
  </r>
  <r>
    <x v="303"/>
    <x v="3"/>
    <n v="29"/>
    <x v="3"/>
    <x v="1"/>
    <n v="6.4"/>
    <n v="477"/>
    <n v="0.2"/>
    <n v="3"/>
    <n v="0"/>
    <n v="0"/>
    <x v="270"/>
    <d v="2022-03-28T00:00:00"/>
  </r>
  <r>
    <x v="304"/>
    <x v="1"/>
    <n v="36"/>
    <x v="1"/>
    <x v="1"/>
    <n v="9.1999999999999993"/>
    <n v="481"/>
    <n v="0.1"/>
    <n v="3"/>
    <n v="0"/>
    <n v="0"/>
    <x v="228"/>
    <d v="2022-09-27T00:00:00"/>
  </r>
  <r>
    <x v="305"/>
    <x v="6"/>
    <n v="35"/>
    <x v="1"/>
    <x v="1"/>
    <n v="11.7"/>
    <n v="545"/>
    <n v="0.1"/>
    <n v="3"/>
    <n v="0"/>
    <n v="0"/>
    <x v="271"/>
    <d v="2024-03-05T00:00:00"/>
  </r>
  <r>
    <x v="306"/>
    <x v="4"/>
    <n v="48"/>
    <x v="3"/>
    <x v="1"/>
    <n v="15.6"/>
    <n v="548"/>
    <n v="0.15"/>
    <n v="3"/>
    <n v="0"/>
    <n v="0"/>
    <x v="272"/>
    <d v="2024-06-05T00:00:00"/>
  </r>
  <r>
    <x v="307"/>
    <x v="4"/>
    <n v="59"/>
    <x v="3"/>
    <x v="1"/>
    <n v="6.9"/>
    <n v="486"/>
    <n v="0.2"/>
    <n v="3"/>
    <n v="0"/>
    <n v="0"/>
    <x v="273"/>
    <d v="2023-04-12T00:00:00"/>
  </r>
  <r>
    <x v="308"/>
    <x v="1"/>
    <n v="17"/>
    <x v="0"/>
    <x v="1"/>
    <n v="9.6999999999999993"/>
    <n v="474"/>
    <n v="0.3"/>
    <n v="3"/>
    <n v="0"/>
    <n v="0"/>
    <x v="274"/>
    <d v="2022-10-20T00:00:00"/>
  </r>
  <r>
    <x v="309"/>
    <x v="8"/>
    <n v="23"/>
    <x v="1"/>
    <x v="1"/>
    <n v="8.8000000000000007"/>
    <n v="494"/>
    <n v="0.15"/>
    <n v="3"/>
    <n v="1"/>
    <n v="0"/>
    <x v="275"/>
    <d v="2022-07-17T00:00:00"/>
  </r>
  <r>
    <x v="310"/>
    <x v="6"/>
    <n v="18"/>
    <x v="1"/>
    <x v="1"/>
    <n v="7.9"/>
    <n v="526"/>
    <n v="0.1"/>
    <n v="3"/>
    <n v="0"/>
    <n v="0"/>
    <x v="276"/>
    <d v="2024-04-23T00:00:00"/>
  </r>
  <r>
    <x v="311"/>
    <x v="5"/>
    <n v="58"/>
    <x v="1"/>
    <x v="1"/>
    <n v="7.2"/>
    <n v="495"/>
    <n v="0.05"/>
    <n v="3"/>
    <n v="0"/>
    <n v="0"/>
    <x v="277"/>
    <d v="2022-04-25T00:00:00"/>
  </r>
  <r>
    <x v="312"/>
    <x v="6"/>
    <n v="27"/>
    <x v="1"/>
    <x v="2"/>
    <n v="1.3"/>
    <n v="513"/>
    <n v="0.1"/>
    <n v="3"/>
    <n v="1"/>
    <m/>
    <x v="278"/>
    <d v="2022-09-03T00:00:00"/>
  </r>
  <r>
    <x v="313"/>
    <x v="6"/>
    <n v="13"/>
    <x v="3"/>
    <x v="2"/>
    <n v="9.4"/>
    <n v="492"/>
    <n v="0.15"/>
    <n v="3"/>
    <n v="1"/>
    <n v="9.99"/>
    <x v="279"/>
    <d v="2022-12-18T00:00:00"/>
  </r>
  <r>
    <x v="314"/>
    <x v="7"/>
    <n v="14"/>
    <x v="2"/>
    <x v="2"/>
    <n v="16.100000000000001"/>
    <n v="470"/>
    <n v="0.1"/>
    <n v="3"/>
    <n v="1"/>
    <n v="9.99"/>
    <x v="280"/>
    <d v="2024-03-03T00:00:00"/>
  </r>
  <r>
    <x v="315"/>
    <x v="3"/>
    <n v="57"/>
    <x v="1"/>
    <x v="2"/>
    <n v="8.3000000000000007"/>
    <n v="483"/>
    <n v="0.3"/>
    <n v="3"/>
    <n v="0"/>
    <n v="9.99"/>
    <x v="281"/>
    <d v="2022-05-20T00:00:00"/>
  </r>
  <r>
    <x v="316"/>
    <x v="4"/>
    <n v="13"/>
    <x v="2"/>
    <x v="2"/>
    <n v="5.8"/>
    <n v="490"/>
    <n v="0.25"/>
    <n v="3"/>
    <n v="1"/>
    <m/>
    <x v="282"/>
    <d v="2024-09-03T00:00:00"/>
  </r>
  <r>
    <x v="317"/>
    <x v="2"/>
    <n v="20"/>
    <x v="2"/>
    <x v="2"/>
    <n v="21.7"/>
    <n v="524"/>
    <n v="0.25"/>
    <n v="3"/>
    <n v="0"/>
    <n v="5"/>
    <x v="283"/>
    <d v="2022-01-09T00:00:00"/>
  </r>
  <r>
    <x v="318"/>
    <x v="2"/>
    <n v="41"/>
    <x v="3"/>
    <x v="2"/>
    <n v="16.100000000000001"/>
    <n v="477"/>
    <n v="0.2"/>
    <n v="3"/>
    <n v="1"/>
    <n v="9.99"/>
    <x v="284"/>
    <d v="2023-11-27T00:00:00"/>
  </r>
  <r>
    <x v="319"/>
    <x v="7"/>
    <n v="37"/>
    <x v="3"/>
    <x v="2"/>
    <n v="9.9"/>
    <n v="522"/>
    <n v="0.1"/>
    <n v="3"/>
    <n v="1"/>
    <n v="9.99"/>
    <x v="285"/>
    <d v="2022-04-25T00:00:00"/>
  </r>
  <r>
    <x v="320"/>
    <x v="3"/>
    <n v="43"/>
    <x v="3"/>
    <x v="2"/>
    <n v="13.1"/>
    <n v="500"/>
    <n v="0.2"/>
    <n v="3"/>
    <n v="1"/>
    <n v="9.99"/>
    <x v="286"/>
    <d v="2023-12-18T00:00:00"/>
  </r>
  <r>
    <x v="321"/>
    <x v="7"/>
    <n v="28"/>
    <x v="2"/>
    <x v="2"/>
    <n v="4.8"/>
    <n v="522"/>
    <n v="0.05"/>
    <n v="3"/>
    <n v="0"/>
    <n v="5"/>
    <x v="287"/>
    <d v="2023-04-01T00:00:00"/>
  </r>
  <r>
    <x v="322"/>
    <x v="5"/>
    <n v="50"/>
    <x v="1"/>
    <x v="2"/>
    <n v="15.9"/>
    <n v="506"/>
    <n v="0.1"/>
    <n v="3"/>
    <n v="0"/>
    <n v="9.99"/>
    <x v="288"/>
    <d v="2024-04-19T00:00:00"/>
  </r>
  <r>
    <x v="323"/>
    <x v="6"/>
    <n v="61"/>
    <x v="1"/>
    <x v="2"/>
    <n v="17.399999999999999"/>
    <n v="492"/>
    <n v="0.1"/>
    <n v="3"/>
    <n v="1"/>
    <n v="9.99"/>
    <x v="289"/>
    <d v="2022-12-10T00:00:00"/>
  </r>
  <r>
    <x v="324"/>
    <x v="0"/>
    <n v="22"/>
    <x v="3"/>
    <x v="2"/>
    <n v="6.8"/>
    <n v="442"/>
    <n v="0.2"/>
    <n v="3"/>
    <n v="0"/>
    <n v="9.99"/>
    <x v="290"/>
    <d v="2023-05-17T00:00:00"/>
  </r>
  <r>
    <x v="325"/>
    <x v="2"/>
    <n v="18"/>
    <x v="3"/>
    <x v="2"/>
    <n v="14.1"/>
    <n v="466"/>
    <n v="0.25"/>
    <n v="3"/>
    <n v="0"/>
    <n v="12.99"/>
    <x v="291"/>
    <d v="2023-10-16T00:00:00"/>
  </r>
  <r>
    <x v="326"/>
    <x v="2"/>
    <n v="22"/>
    <x v="1"/>
    <x v="2"/>
    <n v="4.0999999999999996"/>
    <n v="512"/>
    <n v="0.1"/>
    <n v="3"/>
    <n v="0"/>
    <n v="9.99"/>
    <x v="292"/>
    <d v="2023-10-30T00:00:00"/>
  </r>
  <r>
    <x v="327"/>
    <x v="4"/>
    <n v="57"/>
    <x v="1"/>
    <x v="2"/>
    <n v="2.2999999999999998"/>
    <n v="481"/>
    <n v="0.2"/>
    <n v="3"/>
    <n v="0"/>
    <n v="7.99"/>
    <x v="293"/>
    <d v="2023-11-10T00:00:00"/>
  </r>
  <r>
    <x v="328"/>
    <x v="3"/>
    <n v="16"/>
    <x v="1"/>
    <x v="2"/>
    <n v="9.9"/>
    <n v="500"/>
    <n v="0.3"/>
    <n v="3"/>
    <n v="1"/>
    <m/>
    <x v="294"/>
    <d v="2022-02-09T00:00:00"/>
  </r>
  <r>
    <x v="329"/>
    <x v="7"/>
    <n v="27"/>
    <x v="1"/>
    <x v="2"/>
    <n v="6.8"/>
    <n v="510"/>
    <n v="0.25"/>
    <n v="3"/>
    <n v="0"/>
    <m/>
    <x v="295"/>
    <d v="2022-11-23T00:00:00"/>
  </r>
  <r>
    <x v="330"/>
    <x v="3"/>
    <n v="35"/>
    <x v="3"/>
    <x v="2"/>
    <n v="10.4"/>
    <n v="513"/>
    <n v="0.2"/>
    <n v="3"/>
    <n v="1"/>
    <m/>
    <x v="296"/>
    <d v="2022-10-01T00:00:00"/>
  </r>
  <r>
    <x v="331"/>
    <x v="7"/>
    <n v="45"/>
    <x v="1"/>
    <x v="2"/>
    <n v="2"/>
    <n v="476"/>
    <n v="0.3"/>
    <n v="3"/>
    <n v="0"/>
    <n v="7.99"/>
    <x v="297"/>
    <d v="2022-04-05T00:00:00"/>
  </r>
  <r>
    <x v="332"/>
    <x v="7"/>
    <n v="59"/>
    <x v="1"/>
    <x v="2"/>
    <n v="13.3"/>
    <n v="497"/>
    <n v="0.15"/>
    <n v="3"/>
    <n v="0"/>
    <n v="5"/>
    <x v="298"/>
    <d v="2022-10-13T00:00:00"/>
  </r>
  <r>
    <x v="333"/>
    <x v="2"/>
    <n v="33"/>
    <x v="0"/>
    <x v="2"/>
    <n v="11"/>
    <n v="522"/>
    <n v="0.2"/>
    <n v="3"/>
    <n v="1"/>
    <n v="7.99"/>
    <x v="299"/>
    <d v="2024-04-18T00:00:00"/>
  </r>
  <r>
    <x v="334"/>
    <x v="6"/>
    <n v="62"/>
    <x v="0"/>
    <x v="2"/>
    <n v="9.1999999999999993"/>
    <n v="493"/>
    <n v="0.1"/>
    <n v="3"/>
    <n v="0"/>
    <m/>
    <x v="300"/>
    <d v="2023-01-15T00:00:00"/>
  </r>
  <r>
    <x v="335"/>
    <x v="4"/>
    <n v="17"/>
    <x v="1"/>
    <x v="2"/>
    <n v="2.4"/>
    <n v="516"/>
    <n v="0.15"/>
    <n v="3"/>
    <n v="0"/>
    <m/>
    <x v="301"/>
    <d v="2023-07-18T00:00:00"/>
  </r>
  <r>
    <x v="336"/>
    <x v="1"/>
    <n v="27"/>
    <x v="1"/>
    <x v="2"/>
    <n v="13.6"/>
    <n v="504"/>
    <n v="0.1"/>
    <n v="3"/>
    <n v="0"/>
    <n v="9.99"/>
    <x v="302"/>
    <d v="2022-11-13T00:00:00"/>
  </r>
  <r>
    <x v="337"/>
    <x v="1"/>
    <n v="57"/>
    <x v="1"/>
    <x v="2"/>
    <n v="4.4000000000000004"/>
    <n v="493"/>
    <n v="0.15"/>
    <n v="3"/>
    <n v="0"/>
    <n v="7.99"/>
    <x v="303"/>
    <d v="2023-02-01T00:00:00"/>
  </r>
  <r>
    <x v="338"/>
    <x v="7"/>
    <n v="26"/>
    <x v="3"/>
    <x v="2"/>
    <n v="14.6"/>
    <n v="457"/>
    <n v="0.25"/>
    <n v="3"/>
    <n v="0"/>
    <n v="7.99"/>
    <x v="304"/>
    <d v="2022-02-01T00:00:00"/>
  </r>
  <r>
    <x v="339"/>
    <x v="3"/>
    <n v="25"/>
    <x v="3"/>
    <x v="2"/>
    <n v="6.6"/>
    <n v="497"/>
    <n v="0.25"/>
    <n v="3"/>
    <n v="0"/>
    <n v="9.99"/>
    <x v="305"/>
    <d v="2023-03-26T00:00:00"/>
  </r>
  <r>
    <x v="340"/>
    <x v="5"/>
    <n v="38"/>
    <x v="0"/>
    <x v="2"/>
    <n v="16.600000000000001"/>
    <n v="467"/>
    <n v="0.3"/>
    <n v="3"/>
    <n v="0"/>
    <n v="9.99"/>
    <x v="306"/>
    <d v="2024-08-31T00:00:00"/>
  </r>
  <r>
    <x v="341"/>
    <x v="5"/>
    <n v="42"/>
    <x v="3"/>
    <x v="2"/>
    <n v="13"/>
    <n v="457"/>
    <n v="0.1"/>
    <n v="3"/>
    <n v="0"/>
    <n v="9.99"/>
    <x v="307"/>
    <d v="2022-04-01T00:00:00"/>
  </r>
  <r>
    <x v="342"/>
    <x v="7"/>
    <n v="40"/>
    <x v="1"/>
    <x v="2"/>
    <n v="7.7"/>
    <n v="475"/>
    <n v="0.15"/>
    <n v="3"/>
    <n v="0"/>
    <n v="12.99"/>
    <x v="308"/>
    <d v="2022-01-18T00:00:00"/>
  </r>
  <r>
    <x v="343"/>
    <x v="1"/>
    <n v="50"/>
    <x v="0"/>
    <x v="2"/>
    <n v="10.9"/>
    <n v="497"/>
    <n v="0.2"/>
    <n v="3"/>
    <n v="0"/>
    <n v="9.99"/>
    <x v="309"/>
    <d v="2023-11-02T00:00:00"/>
  </r>
  <r>
    <x v="344"/>
    <x v="0"/>
    <n v="13"/>
    <x v="0"/>
    <x v="2"/>
    <n v="9"/>
    <n v="524"/>
    <n v="0.25"/>
    <n v="3"/>
    <n v="0"/>
    <m/>
    <x v="310"/>
    <d v="2022-07-02T00:00:00"/>
  </r>
  <r>
    <x v="345"/>
    <x v="7"/>
    <n v="28"/>
    <x v="0"/>
    <x v="2"/>
    <n v="12.8"/>
    <n v="510"/>
    <n v="0.25"/>
    <n v="3"/>
    <n v="0"/>
    <m/>
    <x v="311"/>
    <d v="2022-05-15T00:00:00"/>
  </r>
  <r>
    <x v="346"/>
    <x v="6"/>
    <n v="58"/>
    <x v="3"/>
    <x v="2"/>
    <n v="1"/>
    <n v="451"/>
    <n v="0.1"/>
    <n v="3"/>
    <n v="1"/>
    <n v="12.99"/>
    <x v="312"/>
    <d v="2023-05-21T00:00:00"/>
  </r>
  <r>
    <x v="347"/>
    <x v="7"/>
    <n v="59"/>
    <x v="1"/>
    <x v="2"/>
    <n v="8.5"/>
    <n v="525"/>
    <n v="0.1"/>
    <n v="3"/>
    <n v="0"/>
    <n v="7.99"/>
    <x v="313"/>
    <d v="2024-07-28T00:00:00"/>
  </r>
  <r>
    <x v="348"/>
    <x v="6"/>
    <n v="57"/>
    <x v="3"/>
    <x v="2"/>
    <n v="21.4"/>
    <n v="454"/>
    <n v="0.3"/>
    <n v="3"/>
    <n v="1"/>
    <n v="7.99"/>
    <x v="12"/>
    <d v="2022-11-05T00:00:00"/>
  </r>
  <r>
    <x v="349"/>
    <x v="6"/>
    <n v="15"/>
    <x v="0"/>
    <x v="2"/>
    <n v="15.8"/>
    <n v="507"/>
    <n v="0.3"/>
    <n v="3"/>
    <n v="0"/>
    <m/>
    <x v="48"/>
    <d v="2022-10-12T00:00:00"/>
  </r>
  <r>
    <x v="350"/>
    <x v="2"/>
    <n v="43"/>
    <x v="3"/>
    <x v="2"/>
    <n v="8.6999999999999993"/>
    <n v="514"/>
    <n v="0.2"/>
    <n v="3"/>
    <n v="1"/>
    <n v="5"/>
    <x v="155"/>
    <d v="2023-07-03T00:00:00"/>
  </r>
  <r>
    <x v="351"/>
    <x v="6"/>
    <n v="39"/>
    <x v="3"/>
    <x v="2"/>
    <n v="4.5"/>
    <n v="495"/>
    <n v="0.25"/>
    <n v="3"/>
    <n v="0"/>
    <n v="7.99"/>
    <x v="314"/>
    <d v="2022-06-25T00:00:00"/>
  </r>
  <r>
    <x v="352"/>
    <x v="2"/>
    <n v="46"/>
    <x v="0"/>
    <x v="2"/>
    <n v="11.8"/>
    <n v="506"/>
    <n v="0.1"/>
    <n v="3"/>
    <n v="1"/>
    <n v="9.99"/>
    <x v="108"/>
    <d v="2023-06-04T00:00:00"/>
  </r>
  <r>
    <x v="353"/>
    <x v="7"/>
    <n v="14"/>
    <x v="1"/>
    <x v="2"/>
    <n v="3.7"/>
    <n v="494"/>
    <n v="0.2"/>
    <n v="3"/>
    <n v="1"/>
    <n v="7.99"/>
    <x v="13"/>
    <d v="2022-09-10T00:00:00"/>
  </r>
  <r>
    <x v="354"/>
    <x v="6"/>
    <n v="54"/>
    <x v="3"/>
    <x v="2"/>
    <n v="10.4"/>
    <n v="490"/>
    <n v="0.25"/>
    <n v="3"/>
    <n v="0"/>
    <n v="9.99"/>
    <x v="305"/>
    <d v="2023-03-26T00:00:00"/>
  </r>
  <r>
    <x v="355"/>
    <x v="1"/>
    <n v="51"/>
    <x v="1"/>
    <x v="2"/>
    <n v="6.8"/>
    <n v="486"/>
    <n v="0.1"/>
    <n v="3"/>
    <n v="0"/>
    <n v="9.99"/>
    <x v="315"/>
    <d v="2022-04-15T00:00:00"/>
  </r>
  <r>
    <x v="356"/>
    <x v="6"/>
    <n v="19"/>
    <x v="1"/>
    <x v="2"/>
    <n v="16"/>
    <n v="525"/>
    <n v="0.2"/>
    <n v="3"/>
    <n v="0"/>
    <n v="7.99"/>
    <x v="316"/>
    <d v="2023-06-10T00:00:00"/>
  </r>
  <r>
    <x v="357"/>
    <x v="2"/>
    <n v="20"/>
    <x v="3"/>
    <x v="2"/>
    <n v="12.6"/>
    <n v="521"/>
    <n v="0.2"/>
    <n v="3"/>
    <n v="0"/>
    <n v="9.99"/>
    <x v="17"/>
    <d v="2024-07-07T00:00:00"/>
  </r>
  <r>
    <x v="358"/>
    <x v="4"/>
    <n v="56"/>
    <x v="2"/>
    <x v="2"/>
    <n v="12.6"/>
    <n v="480"/>
    <n v="0.1"/>
    <n v="3"/>
    <n v="0"/>
    <n v="7.99"/>
    <x v="317"/>
    <d v="2023-12-09T00:00:00"/>
  </r>
  <r>
    <x v="359"/>
    <x v="7"/>
    <n v="52"/>
    <x v="1"/>
    <x v="2"/>
    <n v="7.3"/>
    <n v="516"/>
    <n v="0.3"/>
    <n v="3"/>
    <n v="1"/>
    <m/>
    <x v="76"/>
    <d v="2023-11-24T00:00:00"/>
  </r>
  <r>
    <x v="360"/>
    <x v="5"/>
    <n v="23"/>
    <x v="3"/>
    <x v="2"/>
    <n v="8.4"/>
    <n v="501"/>
    <n v="0.05"/>
    <n v="3"/>
    <n v="1"/>
    <n v="9.99"/>
    <x v="174"/>
    <d v="2022-10-21T00:00:00"/>
  </r>
  <r>
    <x v="361"/>
    <x v="6"/>
    <n v="17"/>
    <x v="1"/>
    <x v="2"/>
    <n v="6.1"/>
    <n v="551"/>
    <n v="0.1"/>
    <n v="3"/>
    <n v="0"/>
    <m/>
    <x v="225"/>
    <d v="2023-04-22T00:00:00"/>
  </r>
  <r>
    <x v="362"/>
    <x v="2"/>
    <n v="61"/>
    <x v="3"/>
    <x v="2"/>
    <n v="4.3"/>
    <n v="482"/>
    <n v="0.1"/>
    <n v="3"/>
    <n v="0"/>
    <n v="9.99"/>
    <x v="83"/>
    <d v="2023-07-28T00:00:00"/>
  </r>
  <r>
    <x v="363"/>
    <x v="2"/>
    <n v="58"/>
    <x v="2"/>
    <x v="2"/>
    <n v="9.6999999999999993"/>
    <n v="491"/>
    <n v="0.15"/>
    <n v="3"/>
    <n v="0"/>
    <n v="5"/>
    <x v="318"/>
    <d v="2024-06-06T00:00:00"/>
  </r>
  <r>
    <x v="364"/>
    <x v="6"/>
    <n v="56"/>
    <x v="3"/>
    <x v="2"/>
    <n v="9.8000000000000007"/>
    <n v="505"/>
    <n v="0.25"/>
    <n v="3"/>
    <n v="1"/>
    <n v="12.99"/>
    <x v="319"/>
    <d v="2022-07-18T00:00:00"/>
  </r>
  <r>
    <x v="365"/>
    <x v="3"/>
    <n v="52"/>
    <x v="0"/>
    <x v="2"/>
    <n v="4.3"/>
    <n v="469"/>
    <n v="0.3"/>
    <n v="3"/>
    <n v="0"/>
    <n v="9.99"/>
    <x v="189"/>
    <d v="2024-03-13T00:00:00"/>
  </r>
  <r>
    <x v="366"/>
    <x v="3"/>
    <n v="63"/>
    <x v="1"/>
    <x v="2"/>
    <n v="15.4"/>
    <n v="522"/>
    <n v="0.1"/>
    <n v="3"/>
    <n v="0"/>
    <m/>
    <x v="320"/>
    <d v="2023-08-10T00:00:00"/>
  </r>
  <r>
    <x v="367"/>
    <x v="6"/>
    <n v="17"/>
    <x v="2"/>
    <x v="2"/>
    <n v="17.3"/>
    <n v="489"/>
    <n v="0.25"/>
    <n v="3"/>
    <n v="0"/>
    <n v="9.99"/>
    <x v="321"/>
    <d v="2023-11-13T00:00:00"/>
  </r>
  <r>
    <x v="368"/>
    <x v="6"/>
    <n v="57"/>
    <x v="1"/>
    <x v="2"/>
    <n v="11.3"/>
    <n v="476"/>
    <n v="0.3"/>
    <n v="3"/>
    <n v="0"/>
    <n v="7.99"/>
    <x v="322"/>
    <d v="2022-01-12T00:00:00"/>
  </r>
  <r>
    <x v="369"/>
    <x v="6"/>
    <n v="16"/>
    <x v="3"/>
    <x v="2"/>
    <n v="14.4"/>
    <n v="482"/>
    <n v="0.3"/>
    <n v="3"/>
    <n v="0"/>
    <n v="5"/>
    <x v="323"/>
    <d v="2022-02-04T00:00:00"/>
  </r>
  <r>
    <x v="370"/>
    <x v="6"/>
    <n v="57"/>
    <x v="1"/>
    <x v="2"/>
    <n v="10.8"/>
    <n v="521"/>
    <n v="0.05"/>
    <n v="3"/>
    <n v="0"/>
    <n v="12.99"/>
    <x v="324"/>
    <d v="2024-11-01T00:00:00"/>
  </r>
  <r>
    <x v="371"/>
    <x v="7"/>
    <n v="46"/>
    <x v="1"/>
    <x v="2"/>
    <n v="8.9"/>
    <n v="546"/>
    <n v="0.1"/>
    <n v="3"/>
    <n v="1"/>
    <n v="9.99"/>
    <x v="325"/>
    <d v="2022-03-25T00:00:00"/>
  </r>
  <r>
    <x v="372"/>
    <x v="7"/>
    <n v="42"/>
    <x v="2"/>
    <x v="2"/>
    <n v="14.8"/>
    <n v="484"/>
    <n v="0.2"/>
    <n v="3"/>
    <n v="0"/>
    <m/>
    <x v="326"/>
    <d v="2022-10-18T00:00:00"/>
  </r>
  <r>
    <x v="373"/>
    <x v="3"/>
    <n v="50"/>
    <x v="0"/>
    <x v="2"/>
    <n v="5.6"/>
    <n v="509"/>
    <n v="0.2"/>
    <n v="3"/>
    <n v="0"/>
    <m/>
    <x v="327"/>
    <d v="2023-12-26T00:00:00"/>
  </r>
  <r>
    <x v="374"/>
    <x v="3"/>
    <n v="63"/>
    <x v="0"/>
    <x v="2"/>
    <n v="15.8"/>
    <n v="463"/>
    <n v="0.3"/>
    <n v="3"/>
    <n v="0"/>
    <n v="7.99"/>
    <x v="328"/>
    <d v="2024-07-01T00:00:00"/>
  </r>
  <r>
    <x v="375"/>
    <x v="0"/>
    <n v="47"/>
    <x v="3"/>
    <x v="2"/>
    <n v="5"/>
    <n v="487"/>
    <n v="0.25"/>
    <n v="3"/>
    <n v="0"/>
    <m/>
    <x v="229"/>
    <d v="2023-12-18T00:00:00"/>
  </r>
  <r>
    <x v="376"/>
    <x v="1"/>
    <n v="36"/>
    <x v="1"/>
    <x v="2"/>
    <n v="17.5"/>
    <n v="490"/>
    <n v="0.3"/>
    <n v="3"/>
    <n v="0"/>
    <n v="5"/>
    <x v="329"/>
    <d v="2023-04-29T00:00:00"/>
  </r>
  <r>
    <x v="377"/>
    <x v="8"/>
    <n v="15"/>
    <x v="1"/>
    <x v="2"/>
    <n v="19.8"/>
    <n v="484"/>
    <n v="0.3"/>
    <n v="3"/>
    <n v="0"/>
    <n v="9.99"/>
    <x v="330"/>
    <d v="2024-02-19T00:00:00"/>
  </r>
  <r>
    <x v="378"/>
    <x v="8"/>
    <n v="41"/>
    <x v="0"/>
    <x v="3"/>
    <n v="17.7"/>
    <n v="498"/>
    <n v="0.1"/>
    <n v="3"/>
    <n v="0"/>
    <n v="12.99"/>
    <x v="331"/>
    <d v="2022-11-24T00:00:00"/>
  </r>
  <r>
    <x v="379"/>
    <x v="5"/>
    <n v="44"/>
    <x v="1"/>
    <x v="3"/>
    <n v="7.5"/>
    <n v="494"/>
    <n v="0.1"/>
    <n v="3"/>
    <n v="0"/>
    <n v="12.99"/>
    <x v="332"/>
    <d v="2022-05-28T00:00:00"/>
  </r>
  <r>
    <x v="380"/>
    <x v="8"/>
    <n v="50"/>
    <x v="1"/>
    <x v="3"/>
    <n v="13"/>
    <n v="479"/>
    <n v="0.25"/>
    <n v="3"/>
    <n v="0"/>
    <n v="9.99"/>
    <x v="333"/>
    <d v="2023-02-13T00:00:00"/>
  </r>
  <r>
    <x v="381"/>
    <x v="1"/>
    <n v="13"/>
    <x v="3"/>
    <x v="3"/>
    <n v="10.4"/>
    <n v="478"/>
    <n v="0.05"/>
    <n v="3"/>
    <n v="0"/>
    <n v="9.99"/>
    <x v="334"/>
    <d v="2022-01-23T00:00:00"/>
  </r>
  <r>
    <x v="382"/>
    <x v="6"/>
    <n v="36"/>
    <x v="1"/>
    <x v="3"/>
    <n v="13.9"/>
    <n v="525"/>
    <n v="0.1"/>
    <n v="3"/>
    <n v="0"/>
    <n v="5"/>
    <x v="335"/>
    <d v="2023-08-05T00:00:00"/>
  </r>
  <r>
    <x v="383"/>
    <x v="6"/>
    <n v="26"/>
    <x v="3"/>
    <x v="3"/>
    <n v="10"/>
    <n v="485"/>
    <n v="0.3"/>
    <n v="3"/>
    <n v="0"/>
    <m/>
    <x v="25"/>
    <d v="2023-05-31T00:00:00"/>
  </r>
  <r>
    <x v="384"/>
    <x v="6"/>
    <n v="51"/>
    <x v="1"/>
    <x v="3"/>
    <n v="14.5"/>
    <n v="491"/>
    <n v="0.1"/>
    <n v="3"/>
    <n v="0"/>
    <n v="12.99"/>
    <x v="336"/>
    <d v="2022-07-21T00:00:00"/>
  </r>
  <r>
    <x v="385"/>
    <x v="1"/>
    <n v="38"/>
    <x v="1"/>
    <x v="3"/>
    <n v="6.6"/>
    <n v="551"/>
    <n v="0.05"/>
    <n v="3"/>
    <n v="0"/>
    <n v="9.99"/>
    <x v="29"/>
    <d v="2023-05-06T00:00:00"/>
  </r>
  <r>
    <x v="386"/>
    <x v="6"/>
    <n v="49"/>
    <x v="1"/>
    <x v="3"/>
    <n v="3.3"/>
    <n v="494"/>
    <n v="0.15"/>
    <n v="3"/>
    <n v="0"/>
    <n v="9.99"/>
    <x v="337"/>
    <d v="2023-07-23T00:00:00"/>
  </r>
  <r>
    <x v="387"/>
    <x v="1"/>
    <n v="23"/>
    <x v="1"/>
    <x v="3"/>
    <n v="21.5"/>
    <n v="514"/>
    <n v="0.15"/>
    <n v="3"/>
    <n v="0"/>
    <n v="9.99"/>
    <x v="264"/>
    <d v="2022-12-02T00:00:00"/>
  </r>
  <r>
    <x v="388"/>
    <x v="1"/>
    <n v="55"/>
    <x v="2"/>
    <x v="3"/>
    <n v="6.9"/>
    <n v="512"/>
    <n v="0.2"/>
    <n v="3"/>
    <n v="0"/>
    <n v="7.99"/>
    <x v="338"/>
    <d v="2024-03-15T00:00:00"/>
  </r>
  <r>
    <x v="389"/>
    <x v="6"/>
    <n v="45"/>
    <x v="1"/>
    <x v="3"/>
    <n v="15.2"/>
    <n v="461"/>
    <n v="0.05"/>
    <n v="3"/>
    <n v="0"/>
    <n v="5"/>
    <x v="339"/>
    <d v="2022-09-30T00:00:00"/>
  </r>
  <r>
    <x v="390"/>
    <x v="6"/>
    <n v="13"/>
    <x v="1"/>
    <x v="3"/>
    <n v="16.5"/>
    <n v="519"/>
    <n v="0.2"/>
    <n v="3"/>
    <n v="0"/>
    <m/>
    <x v="293"/>
    <d v="2023-11-10T00:00:00"/>
  </r>
  <r>
    <x v="391"/>
    <x v="0"/>
    <n v="14"/>
    <x v="1"/>
    <x v="3"/>
    <n v="4.8"/>
    <n v="522"/>
    <n v="0.1"/>
    <n v="3"/>
    <n v="0"/>
    <n v="5"/>
    <x v="340"/>
    <d v="2023-09-06T00:00:00"/>
  </r>
  <r>
    <x v="392"/>
    <x v="8"/>
    <n v="45"/>
    <x v="1"/>
    <x v="3"/>
    <n v="11.1"/>
    <n v="495"/>
    <n v="0.2"/>
    <n v="3"/>
    <n v="0"/>
    <n v="5"/>
    <x v="178"/>
    <d v="2022-03-01T00:00:00"/>
  </r>
  <r>
    <x v="393"/>
    <x v="6"/>
    <n v="16"/>
    <x v="1"/>
    <x v="3"/>
    <n v="11"/>
    <n v="548"/>
    <n v="0.3"/>
    <n v="3"/>
    <n v="0"/>
    <n v="9.99"/>
    <x v="285"/>
    <d v="2022-04-25T00:00:00"/>
  </r>
  <r>
    <x v="394"/>
    <x v="2"/>
    <n v="40"/>
    <x v="2"/>
    <x v="3"/>
    <n v="4.5"/>
    <n v="520"/>
    <n v="0.05"/>
    <n v="3"/>
    <n v="0"/>
    <n v="5"/>
    <x v="341"/>
    <d v="2022-03-16T00:00:00"/>
  </r>
  <r>
    <x v="395"/>
    <x v="1"/>
    <n v="26"/>
    <x v="3"/>
    <x v="3"/>
    <n v="10.8"/>
    <n v="495"/>
    <n v="0.1"/>
    <n v="3"/>
    <n v="0"/>
    <m/>
    <x v="287"/>
    <d v="2023-04-01T00:00:00"/>
  </r>
  <r>
    <x v="396"/>
    <x v="2"/>
    <n v="45"/>
    <x v="3"/>
    <x v="3"/>
    <n v="13.3"/>
    <n v="504"/>
    <n v="0.2"/>
    <n v="3"/>
    <n v="0"/>
    <m/>
    <x v="285"/>
    <d v="2022-04-25T00:00:00"/>
  </r>
  <r>
    <x v="397"/>
    <x v="6"/>
    <n v="13"/>
    <x v="3"/>
    <x v="3"/>
    <n v="16.100000000000001"/>
    <n v="489"/>
    <n v="0.25"/>
    <n v="3"/>
    <n v="1"/>
    <n v="12.99"/>
    <x v="342"/>
    <d v="2024-07-13T00:00:00"/>
  </r>
  <r>
    <x v="398"/>
    <x v="2"/>
    <n v="61"/>
    <x v="3"/>
    <x v="3"/>
    <n v="10.3"/>
    <n v="493"/>
    <n v="0.2"/>
    <n v="3"/>
    <n v="0"/>
    <n v="7.99"/>
    <x v="343"/>
    <d v="2024-06-25T00:00:00"/>
  </r>
  <r>
    <x v="399"/>
    <x v="5"/>
    <n v="63"/>
    <x v="3"/>
    <x v="3"/>
    <n v="11.3"/>
    <n v="526"/>
    <n v="0.05"/>
    <n v="3"/>
    <n v="0"/>
    <m/>
    <x v="320"/>
    <d v="2023-08-10T00:00:00"/>
  </r>
  <r>
    <x v="400"/>
    <x v="1"/>
    <n v="45"/>
    <x v="1"/>
    <x v="3"/>
    <n v="9"/>
    <n v="525"/>
    <n v="0.1"/>
    <n v="3"/>
    <n v="1"/>
    <n v="9.99"/>
    <x v="344"/>
    <d v="2023-02-25T00:00:00"/>
  </r>
  <r>
    <x v="401"/>
    <x v="3"/>
    <n v="41"/>
    <x v="1"/>
    <x v="3"/>
    <n v="11.5"/>
    <n v="474"/>
    <n v="0.25"/>
    <n v="3"/>
    <n v="0"/>
    <n v="9.99"/>
    <x v="345"/>
    <d v="2023-07-17T00:00:00"/>
  </r>
  <r>
    <x v="402"/>
    <x v="1"/>
    <n v="58"/>
    <x v="1"/>
    <x v="3"/>
    <n v="2.9"/>
    <n v="458"/>
    <n v="0.1"/>
    <n v="3"/>
    <n v="0"/>
    <n v="5"/>
    <x v="346"/>
    <d v="2024-07-25T00:00:00"/>
  </r>
  <r>
    <x v="403"/>
    <x v="7"/>
    <n v="13"/>
    <x v="1"/>
    <x v="3"/>
    <n v="11"/>
    <n v="509"/>
    <n v="0.1"/>
    <n v="3"/>
    <n v="0"/>
    <n v="7.99"/>
    <x v="109"/>
    <d v="2023-06-23T00:00:00"/>
  </r>
  <r>
    <x v="404"/>
    <x v="3"/>
    <n v="58"/>
    <x v="1"/>
    <x v="3"/>
    <n v="9.3000000000000007"/>
    <n v="502"/>
    <n v="0.1"/>
    <n v="3"/>
    <n v="1"/>
    <n v="9.99"/>
    <x v="347"/>
    <d v="2022-02-23T00:00:00"/>
  </r>
  <r>
    <x v="405"/>
    <x v="6"/>
    <n v="26"/>
    <x v="1"/>
    <x v="3"/>
    <n v="9.5"/>
    <n v="498"/>
    <n v="0.1"/>
    <n v="3"/>
    <n v="0"/>
    <n v="9.99"/>
    <x v="348"/>
    <d v="2022-11-10T00:00:00"/>
  </r>
  <r>
    <x v="406"/>
    <x v="1"/>
    <n v="20"/>
    <x v="1"/>
    <x v="3"/>
    <n v="8"/>
    <n v="516"/>
    <n v="0.15"/>
    <n v="3"/>
    <n v="1"/>
    <n v="9.99"/>
    <x v="349"/>
    <d v="2022-01-26T00:00:00"/>
  </r>
  <r>
    <x v="407"/>
    <x v="7"/>
    <n v="31"/>
    <x v="3"/>
    <x v="3"/>
    <n v="8"/>
    <n v="556"/>
    <n v="0.2"/>
    <n v="3"/>
    <n v="0"/>
    <n v="7.99"/>
    <x v="350"/>
    <d v="2024-11-04T00:00:00"/>
  </r>
  <r>
    <x v="408"/>
    <x v="7"/>
    <n v="38"/>
    <x v="1"/>
    <x v="3"/>
    <n v="3.4"/>
    <n v="481"/>
    <n v="0.1"/>
    <n v="3"/>
    <n v="0"/>
    <m/>
    <x v="351"/>
    <d v="2022-06-23T00:00:00"/>
  </r>
  <r>
    <x v="409"/>
    <x v="6"/>
    <n v="52"/>
    <x v="3"/>
    <x v="3"/>
    <n v="13.9"/>
    <n v="471"/>
    <n v="0.2"/>
    <n v="3"/>
    <n v="0"/>
    <n v="9.99"/>
    <x v="258"/>
    <d v="2022-07-12T00:00:00"/>
  </r>
  <r>
    <x v="410"/>
    <x v="4"/>
    <n v="20"/>
    <x v="1"/>
    <x v="3"/>
    <n v="2.6"/>
    <n v="516"/>
    <n v="0.15"/>
    <n v="3"/>
    <n v="1"/>
    <n v="9.99"/>
    <x v="352"/>
    <d v="2023-04-17T00:00:00"/>
  </r>
  <r>
    <x v="411"/>
    <x v="7"/>
    <n v="63"/>
    <x v="0"/>
    <x v="3"/>
    <n v="12.1"/>
    <n v="489"/>
    <n v="0.15"/>
    <n v="3"/>
    <n v="1"/>
    <n v="12.99"/>
    <x v="353"/>
    <d v="2022-09-12T00:00:00"/>
  </r>
  <r>
    <x v="412"/>
    <x v="4"/>
    <n v="37"/>
    <x v="3"/>
    <x v="3"/>
    <n v="7.1"/>
    <n v="490"/>
    <n v="0.2"/>
    <n v="3"/>
    <n v="0"/>
    <m/>
    <x v="354"/>
    <d v="2022-02-18T00:00:00"/>
  </r>
  <r>
    <x v="413"/>
    <x v="7"/>
    <n v="36"/>
    <x v="1"/>
    <x v="3"/>
    <n v="10.199999999999999"/>
    <n v="444"/>
    <n v="0.3"/>
    <n v="3"/>
    <n v="0"/>
    <n v="5"/>
    <x v="355"/>
    <d v="2022-12-26T00:00:00"/>
  </r>
  <r>
    <x v="414"/>
    <x v="6"/>
    <n v="39"/>
    <x v="3"/>
    <x v="3"/>
    <n v="15.3"/>
    <n v="530"/>
    <n v="0.1"/>
    <n v="3"/>
    <n v="1"/>
    <n v="9.99"/>
    <x v="356"/>
    <d v="2024-02-06T00:00:00"/>
  </r>
  <r>
    <x v="415"/>
    <x v="8"/>
    <n v="49"/>
    <x v="2"/>
    <x v="3"/>
    <n v="15.4"/>
    <n v="534"/>
    <n v="0.25"/>
    <n v="3"/>
    <n v="0"/>
    <n v="9.99"/>
    <x v="357"/>
    <d v="2023-02-24T00:00:00"/>
  </r>
  <r>
    <x v="416"/>
    <x v="6"/>
    <n v="35"/>
    <x v="2"/>
    <x v="3"/>
    <n v="11.4"/>
    <n v="500"/>
    <n v="0.25"/>
    <n v="3"/>
    <n v="0"/>
    <n v="9.99"/>
    <x v="358"/>
    <d v="2023-01-19T00:00:00"/>
  </r>
  <r>
    <x v="417"/>
    <x v="1"/>
    <n v="31"/>
    <x v="1"/>
    <x v="3"/>
    <n v="9.8000000000000007"/>
    <n v="508"/>
    <n v="0.3"/>
    <n v="3"/>
    <n v="0"/>
    <m/>
    <x v="359"/>
    <d v="2022-07-30T00:00:00"/>
  </r>
  <r>
    <x v="418"/>
    <x v="3"/>
    <n v="61"/>
    <x v="2"/>
    <x v="3"/>
    <n v="1.9"/>
    <n v="475"/>
    <n v="0.25"/>
    <n v="3"/>
    <n v="0"/>
    <n v="7.99"/>
    <x v="360"/>
    <d v="2024-03-06T00:00:00"/>
  </r>
  <r>
    <x v="419"/>
    <x v="3"/>
    <n v="53"/>
    <x v="3"/>
    <x v="3"/>
    <n v="5.8"/>
    <n v="506"/>
    <n v="0.3"/>
    <n v="3"/>
    <n v="1"/>
    <n v="12.99"/>
    <x v="361"/>
    <d v="2022-11-23T00:00:00"/>
  </r>
  <r>
    <x v="420"/>
    <x v="1"/>
    <n v="45"/>
    <x v="1"/>
    <x v="3"/>
    <n v="10.4"/>
    <n v="479"/>
    <n v="0.1"/>
    <n v="3"/>
    <n v="0"/>
    <n v="12.99"/>
    <x v="362"/>
    <d v="2022-10-14T00:00:00"/>
  </r>
  <r>
    <x v="421"/>
    <x v="4"/>
    <n v="22"/>
    <x v="1"/>
    <x v="3"/>
    <n v="7.4"/>
    <n v="505"/>
    <n v="0.1"/>
    <n v="3"/>
    <n v="1"/>
    <n v="7.99"/>
    <x v="363"/>
    <d v="2023-12-22T00:00:00"/>
  </r>
  <r>
    <x v="422"/>
    <x v="1"/>
    <n v="61"/>
    <x v="1"/>
    <x v="3"/>
    <n v="11.3"/>
    <n v="486"/>
    <n v="0.1"/>
    <n v="3"/>
    <n v="0"/>
    <m/>
    <x v="364"/>
    <d v="2023-02-13T00:00:00"/>
  </r>
  <r>
    <x v="423"/>
    <x v="5"/>
    <n v="44"/>
    <x v="3"/>
    <x v="3"/>
    <n v="8.1999999999999993"/>
    <n v="514"/>
    <n v="0.15"/>
    <n v="3"/>
    <n v="0"/>
    <n v="9.99"/>
    <x v="365"/>
    <d v="2022-01-27T00:00:00"/>
  </r>
  <r>
    <x v="424"/>
    <x v="6"/>
    <n v="15"/>
    <x v="1"/>
    <x v="3"/>
    <n v="5.4"/>
    <n v="521"/>
    <n v="0.2"/>
    <n v="3"/>
    <n v="0"/>
    <n v="5"/>
    <x v="366"/>
    <d v="2024-04-02T00:00:00"/>
  </r>
  <r>
    <x v="425"/>
    <x v="2"/>
    <n v="33"/>
    <x v="2"/>
    <x v="3"/>
    <n v="4.5999999999999996"/>
    <n v="518"/>
    <n v="0.3"/>
    <n v="3"/>
    <n v="0"/>
    <n v="9.99"/>
    <x v="367"/>
    <d v="2022-11-19T00:00:00"/>
  </r>
  <r>
    <x v="426"/>
    <x v="1"/>
    <n v="46"/>
    <x v="1"/>
    <x v="3"/>
    <n v="7.4"/>
    <n v="507"/>
    <n v="0.1"/>
    <n v="3"/>
    <n v="0"/>
    <n v="7.99"/>
    <x v="40"/>
    <d v="2023-10-20T00:00:00"/>
  </r>
  <r>
    <x v="427"/>
    <x v="6"/>
    <n v="36"/>
    <x v="3"/>
    <x v="3"/>
    <n v="17.2"/>
    <n v="506"/>
    <n v="0.1"/>
    <n v="3"/>
    <n v="1"/>
    <n v="9.99"/>
    <x v="368"/>
    <d v="2023-08-21T00:00:00"/>
  </r>
  <r>
    <x v="120"/>
    <x v="7"/>
    <n v="16"/>
    <x v="1"/>
    <x v="3"/>
    <n v="11.8"/>
    <n v="520"/>
    <n v="0.15"/>
    <n v="3"/>
    <n v="0"/>
    <n v="9.99"/>
    <x v="369"/>
    <d v="2022-09-23T00:00:00"/>
  </r>
  <r>
    <x v="428"/>
    <x v="2"/>
    <n v="43"/>
    <x v="1"/>
    <x v="3"/>
    <n v="4.9000000000000004"/>
    <n v="504"/>
    <n v="0.1"/>
    <n v="3"/>
    <n v="0"/>
    <m/>
    <x v="370"/>
    <d v="2023-12-07T00:00:00"/>
  </r>
  <r>
    <x v="429"/>
    <x v="8"/>
    <n v="45"/>
    <x v="1"/>
    <x v="3"/>
    <n v="15.1"/>
    <n v="474"/>
    <n v="0.2"/>
    <n v="3"/>
    <n v="0"/>
    <m/>
    <x v="364"/>
    <d v="2023-02-13T00:00:00"/>
  </r>
  <r>
    <x v="430"/>
    <x v="2"/>
    <n v="23"/>
    <x v="2"/>
    <x v="3"/>
    <n v="17.3"/>
    <n v="490"/>
    <n v="0.1"/>
    <n v="3"/>
    <n v="0"/>
    <n v="12.99"/>
    <x v="121"/>
    <d v="2023-11-16T00:00:00"/>
  </r>
  <r>
    <x v="431"/>
    <x v="1"/>
    <n v="54"/>
    <x v="0"/>
    <x v="3"/>
    <n v="7.7"/>
    <n v="496"/>
    <n v="0.1"/>
    <n v="3"/>
    <n v="1"/>
    <m/>
    <x v="371"/>
    <d v="2022-08-09T00:00:00"/>
  </r>
  <r>
    <x v="432"/>
    <x v="0"/>
    <n v="55"/>
    <x v="3"/>
    <x v="3"/>
    <n v="17.2"/>
    <n v="481"/>
    <n v="0.25"/>
    <n v="3"/>
    <n v="0"/>
    <m/>
    <x v="372"/>
    <d v="2024-05-31T00:00:00"/>
  </r>
  <r>
    <x v="433"/>
    <x v="6"/>
    <n v="48"/>
    <x v="2"/>
    <x v="3"/>
    <n v="5.4"/>
    <n v="528"/>
    <n v="0.2"/>
    <n v="3"/>
    <n v="0"/>
    <n v="9.99"/>
    <x v="373"/>
    <d v="2024-04-03T00:00:00"/>
  </r>
  <r>
    <x v="434"/>
    <x v="7"/>
    <n v="38"/>
    <x v="0"/>
    <x v="3"/>
    <n v="10.4"/>
    <n v="479"/>
    <n v="0.3"/>
    <n v="3"/>
    <n v="0"/>
    <n v="5"/>
    <x v="374"/>
    <d v="2024-04-26T00:00:00"/>
  </r>
  <r>
    <x v="435"/>
    <x v="4"/>
    <n v="28"/>
    <x v="1"/>
    <x v="3"/>
    <n v="14.5"/>
    <n v="516"/>
    <n v="0.3"/>
    <n v="3"/>
    <n v="0"/>
    <n v="9.99"/>
    <x v="121"/>
    <d v="2023-11-16T00:00:00"/>
  </r>
  <r>
    <x v="436"/>
    <x v="4"/>
    <n v="49"/>
    <x v="0"/>
    <x v="3"/>
    <n v="5.8"/>
    <n v="507"/>
    <n v="0.1"/>
    <n v="3"/>
    <n v="0"/>
    <n v="9.99"/>
    <x v="375"/>
    <d v="2022-04-14T00:00:00"/>
  </r>
  <r>
    <x v="437"/>
    <x v="1"/>
    <n v="57"/>
    <x v="1"/>
    <x v="3"/>
    <n v="12.5"/>
    <n v="473"/>
    <n v="0.15"/>
    <n v="3"/>
    <n v="0"/>
    <m/>
    <x v="376"/>
    <d v="2023-02-16T00:00:00"/>
  </r>
  <r>
    <x v="438"/>
    <x v="2"/>
    <n v="28"/>
    <x v="1"/>
    <x v="3"/>
    <n v="0.2"/>
    <n v="529"/>
    <n v="0.25"/>
    <n v="3"/>
    <n v="1"/>
    <m/>
    <x v="377"/>
    <d v="2023-08-23T00:00:00"/>
  </r>
  <r>
    <x v="439"/>
    <x v="6"/>
    <n v="33"/>
    <x v="1"/>
    <x v="3"/>
    <n v="2.9"/>
    <n v="490"/>
    <n v="0.25"/>
    <n v="3"/>
    <n v="0"/>
    <n v="12.99"/>
    <x v="378"/>
    <d v="2024-08-20T00:00:00"/>
  </r>
  <r>
    <x v="440"/>
    <x v="1"/>
    <n v="53"/>
    <x v="1"/>
    <x v="3"/>
    <n v="13.5"/>
    <n v="481"/>
    <n v="0.1"/>
    <n v="3"/>
    <n v="1"/>
    <m/>
    <x v="379"/>
    <d v="2022-11-07T00:00:00"/>
  </r>
  <r>
    <x v="441"/>
    <x v="2"/>
    <n v="17"/>
    <x v="1"/>
    <x v="3"/>
    <n v="17.399999999999999"/>
    <n v="485"/>
    <n v="0.1"/>
    <n v="3"/>
    <n v="1"/>
    <n v="7.99"/>
    <x v="380"/>
    <d v="2022-10-10T00:00:00"/>
  </r>
  <r>
    <x v="442"/>
    <x v="6"/>
    <n v="44"/>
    <x v="3"/>
    <x v="3"/>
    <n v="9.5"/>
    <n v="493"/>
    <n v="0.2"/>
    <n v="3"/>
    <n v="0"/>
    <n v="12.99"/>
    <x v="381"/>
    <d v="2024-07-21T00:00:00"/>
  </r>
  <r>
    <x v="443"/>
    <x v="0"/>
    <n v="27"/>
    <x v="0"/>
    <x v="3"/>
    <n v="8.1"/>
    <n v="541"/>
    <n v="0.05"/>
    <n v="3"/>
    <n v="0"/>
    <n v="12.99"/>
    <x v="382"/>
    <d v="2022-04-18T00:00:00"/>
  </r>
  <r>
    <x v="444"/>
    <x v="8"/>
    <n v="45"/>
    <x v="0"/>
    <x v="3"/>
    <n v="23.7"/>
    <n v="536"/>
    <n v="0.1"/>
    <n v="3"/>
    <n v="0"/>
    <n v="9.99"/>
    <x v="383"/>
    <d v="2023-07-08T00:00:00"/>
  </r>
  <r>
    <x v="445"/>
    <x v="8"/>
    <n v="63"/>
    <x v="3"/>
    <x v="3"/>
    <n v="12.6"/>
    <n v="518"/>
    <n v="0.2"/>
    <n v="3"/>
    <n v="1"/>
    <n v="9.99"/>
    <x v="384"/>
    <d v="2024-01-19T00:00:00"/>
  </r>
  <r>
    <x v="446"/>
    <x v="6"/>
    <n v="17"/>
    <x v="3"/>
    <x v="3"/>
    <n v="9.9"/>
    <n v="469"/>
    <n v="0.15"/>
    <n v="3"/>
    <n v="0"/>
    <n v="12.99"/>
    <x v="385"/>
    <d v="2024-05-10T00:00:00"/>
  </r>
  <r>
    <x v="447"/>
    <x v="0"/>
    <n v="63"/>
    <x v="1"/>
    <x v="3"/>
    <n v="7.4"/>
    <n v="450"/>
    <n v="0.15"/>
    <n v="3"/>
    <n v="0"/>
    <n v="12.99"/>
    <x v="386"/>
    <d v="2023-03-01T00:00:00"/>
  </r>
  <r>
    <x v="448"/>
    <x v="4"/>
    <n v="64"/>
    <x v="2"/>
    <x v="0"/>
    <n v="15.9"/>
    <n v="495"/>
    <n v="0.2"/>
    <n v="4"/>
    <n v="0"/>
    <n v="7.99"/>
    <x v="387"/>
    <d v="2023-02-14T00:00:00"/>
  </r>
  <r>
    <x v="449"/>
    <x v="6"/>
    <n v="24"/>
    <x v="3"/>
    <x v="0"/>
    <n v="17.3"/>
    <n v="485"/>
    <n v="0.1"/>
    <n v="4"/>
    <n v="0"/>
    <m/>
    <x v="388"/>
    <d v="2023-01-05T00:00:00"/>
  </r>
  <r>
    <x v="450"/>
    <x v="1"/>
    <n v="46"/>
    <x v="1"/>
    <x v="0"/>
    <n v="10.7"/>
    <n v="485"/>
    <n v="0.1"/>
    <n v="4"/>
    <n v="0"/>
    <n v="9.99"/>
    <x v="389"/>
    <d v="2024-05-28T00:00:00"/>
  </r>
  <r>
    <x v="451"/>
    <x v="6"/>
    <n v="30"/>
    <x v="3"/>
    <x v="0"/>
    <n v="7.1"/>
    <n v="494"/>
    <n v="0.25"/>
    <n v="4"/>
    <n v="1"/>
    <n v="9.99"/>
    <x v="390"/>
    <d v="2024-08-14T00:00:00"/>
  </r>
  <r>
    <x v="452"/>
    <x v="6"/>
    <n v="49"/>
    <x v="2"/>
    <x v="0"/>
    <n v="16.3"/>
    <n v="531"/>
    <n v="0.05"/>
    <n v="4"/>
    <n v="0"/>
    <n v="7.99"/>
    <x v="378"/>
    <d v="2024-08-20T00:00:00"/>
  </r>
  <r>
    <x v="453"/>
    <x v="1"/>
    <n v="61"/>
    <x v="3"/>
    <x v="0"/>
    <n v="9.9"/>
    <n v="501"/>
    <n v="0.1"/>
    <n v="4"/>
    <n v="0"/>
    <n v="9.99"/>
    <x v="391"/>
    <d v="2023-06-17T00:00:00"/>
  </r>
  <r>
    <x v="454"/>
    <x v="1"/>
    <n v="13"/>
    <x v="2"/>
    <x v="0"/>
    <n v="4.0999999999999996"/>
    <n v="505"/>
    <n v="0.1"/>
    <n v="4"/>
    <n v="1"/>
    <n v="9.99"/>
    <x v="392"/>
    <d v="2023-05-22T00:00:00"/>
  </r>
  <r>
    <x v="455"/>
    <x v="6"/>
    <n v="30"/>
    <x v="1"/>
    <x v="0"/>
    <n v="2.8"/>
    <n v="494"/>
    <n v="0.2"/>
    <n v="4"/>
    <n v="0"/>
    <n v="9.99"/>
    <x v="393"/>
    <d v="2023-07-14T00:00:00"/>
  </r>
  <r>
    <x v="456"/>
    <x v="7"/>
    <n v="34"/>
    <x v="3"/>
    <x v="0"/>
    <n v="4.4000000000000004"/>
    <n v="475"/>
    <n v="0.2"/>
    <n v="4"/>
    <n v="0"/>
    <m/>
    <x v="140"/>
    <d v="2023-08-02T00:00:00"/>
  </r>
  <r>
    <x v="457"/>
    <x v="0"/>
    <n v="51"/>
    <x v="1"/>
    <x v="0"/>
    <n v="5.0999999999999996"/>
    <n v="481"/>
    <n v="0.25"/>
    <n v="4"/>
    <n v="0"/>
    <n v="7.99"/>
    <x v="394"/>
    <d v="2024-02-29T00:00:00"/>
  </r>
  <r>
    <x v="458"/>
    <x v="6"/>
    <n v="15"/>
    <x v="3"/>
    <x v="0"/>
    <n v="15.8"/>
    <n v="465"/>
    <n v="0.3"/>
    <n v="4"/>
    <n v="1"/>
    <m/>
    <x v="193"/>
    <d v="2022-04-22T00:00:00"/>
  </r>
  <r>
    <x v="459"/>
    <x v="6"/>
    <n v="24"/>
    <x v="3"/>
    <x v="0"/>
    <n v="9"/>
    <n v="524"/>
    <n v="0.3"/>
    <n v="4"/>
    <n v="0"/>
    <n v="9.99"/>
    <x v="395"/>
    <d v="2022-06-16T00:00:00"/>
  </r>
  <r>
    <x v="460"/>
    <x v="8"/>
    <n v="42"/>
    <x v="3"/>
    <x v="0"/>
    <n v="14.6"/>
    <n v="565"/>
    <n v="0.1"/>
    <n v="4"/>
    <n v="0"/>
    <n v="7.99"/>
    <x v="396"/>
    <d v="2022-11-14T00:00:00"/>
  </r>
  <r>
    <x v="461"/>
    <x v="4"/>
    <n v="55"/>
    <x v="3"/>
    <x v="0"/>
    <n v="15"/>
    <n v="534"/>
    <n v="0.1"/>
    <n v="4"/>
    <n v="1"/>
    <m/>
    <x v="397"/>
    <d v="2022-12-19T00:00:00"/>
  </r>
  <r>
    <x v="462"/>
    <x v="1"/>
    <n v="44"/>
    <x v="3"/>
    <x v="0"/>
    <n v="9.5"/>
    <n v="535"/>
    <n v="0.05"/>
    <n v="4"/>
    <n v="0"/>
    <n v="7.99"/>
    <x v="398"/>
    <d v="2023-03-10T00:00:00"/>
  </r>
  <r>
    <x v="463"/>
    <x v="5"/>
    <n v="20"/>
    <x v="3"/>
    <x v="0"/>
    <n v="10.5"/>
    <n v="478"/>
    <n v="0.2"/>
    <n v="4"/>
    <n v="0"/>
    <n v="12.99"/>
    <x v="399"/>
    <d v="2022-09-28T00:00:00"/>
  </r>
  <r>
    <x v="464"/>
    <x v="6"/>
    <n v="38"/>
    <x v="3"/>
    <x v="0"/>
    <n v="14.4"/>
    <n v="504"/>
    <n v="0.1"/>
    <n v="4"/>
    <n v="0"/>
    <n v="12.99"/>
    <x v="400"/>
    <d v="2022-08-04T00:00:00"/>
  </r>
  <r>
    <x v="465"/>
    <x v="8"/>
    <n v="64"/>
    <x v="3"/>
    <x v="0"/>
    <n v="14"/>
    <n v="556"/>
    <n v="0.15"/>
    <n v="4"/>
    <n v="1"/>
    <n v="7.99"/>
    <x v="401"/>
    <d v="2022-02-28T00:00:00"/>
  </r>
  <r>
    <x v="466"/>
    <x v="0"/>
    <n v="45"/>
    <x v="0"/>
    <x v="0"/>
    <n v="22.1"/>
    <n v="508"/>
    <n v="0.15"/>
    <n v="4"/>
    <n v="0"/>
    <n v="9.99"/>
    <x v="47"/>
    <d v="2023-05-22T00:00:00"/>
  </r>
  <r>
    <x v="467"/>
    <x v="6"/>
    <n v="23"/>
    <x v="3"/>
    <x v="0"/>
    <n v="17"/>
    <n v="458"/>
    <n v="0.25"/>
    <n v="4"/>
    <n v="1"/>
    <m/>
    <x v="402"/>
    <d v="2023-03-02T00:00:00"/>
  </r>
  <r>
    <x v="468"/>
    <x v="1"/>
    <n v="63"/>
    <x v="1"/>
    <x v="0"/>
    <n v="12.9"/>
    <n v="530"/>
    <n v="0.15"/>
    <n v="4"/>
    <n v="0"/>
    <n v="9.99"/>
    <x v="403"/>
    <d v="2024-08-27T00:00:00"/>
  </r>
  <r>
    <x v="469"/>
    <x v="4"/>
    <n v="27"/>
    <x v="1"/>
    <x v="0"/>
    <n v="15.7"/>
    <n v="493"/>
    <n v="0.25"/>
    <n v="4"/>
    <n v="1"/>
    <m/>
    <x v="404"/>
    <d v="2022-02-24T00:00:00"/>
  </r>
  <r>
    <x v="470"/>
    <x v="1"/>
    <n v="44"/>
    <x v="3"/>
    <x v="0"/>
    <n v="8.1999999999999993"/>
    <n v="483"/>
    <n v="0.1"/>
    <n v="4"/>
    <n v="0"/>
    <n v="7.99"/>
    <x v="405"/>
    <d v="2022-09-27T00:00:00"/>
  </r>
  <r>
    <x v="471"/>
    <x v="1"/>
    <n v="48"/>
    <x v="1"/>
    <x v="0"/>
    <n v="10.5"/>
    <n v="521"/>
    <n v="0.1"/>
    <n v="4"/>
    <n v="0"/>
    <n v="9.99"/>
    <x v="406"/>
    <d v="2023-01-08T00:00:00"/>
  </r>
  <r>
    <x v="472"/>
    <x v="5"/>
    <n v="15"/>
    <x v="3"/>
    <x v="0"/>
    <n v="9.9"/>
    <n v="485"/>
    <n v="0.25"/>
    <n v="4"/>
    <n v="1"/>
    <n v="5"/>
    <x v="243"/>
    <d v="2023-07-02T00:00:00"/>
  </r>
  <r>
    <x v="473"/>
    <x v="7"/>
    <n v="22"/>
    <x v="3"/>
    <x v="0"/>
    <n v="4.8"/>
    <n v="503"/>
    <n v="0.1"/>
    <n v="4"/>
    <n v="0"/>
    <n v="5"/>
    <x v="407"/>
    <d v="2022-07-15T00:00:00"/>
  </r>
  <r>
    <x v="474"/>
    <x v="1"/>
    <n v="43"/>
    <x v="3"/>
    <x v="0"/>
    <n v="10.199999999999999"/>
    <n v="474"/>
    <n v="0.05"/>
    <n v="4"/>
    <n v="0"/>
    <n v="7.99"/>
    <x v="138"/>
    <d v="2023-02-23T00:00:00"/>
  </r>
  <r>
    <x v="475"/>
    <x v="1"/>
    <n v="35"/>
    <x v="3"/>
    <x v="0"/>
    <n v="8.1999999999999993"/>
    <n v="493"/>
    <n v="0.2"/>
    <n v="4"/>
    <n v="0"/>
    <n v="12.99"/>
    <x v="408"/>
    <d v="2024-01-13T00:00:00"/>
  </r>
  <r>
    <x v="476"/>
    <x v="1"/>
    <n v="38"/>
    <x v="1"/>
    <x v="0"/>
    <n v="12.4"/>
    <n v="496"/>
    <n v="0.1"/>
    <n v="4"/>
    <n v="0"/>
    <n v="7.99"/>
    <x v="409"/>
    <d v="2023-02-08T00:00:00"/>
  </r>
  <r>
    <x v="477"/>
    <x v="4"/>
    <n v="55"/>
    <x v="3"/>
    <x v="0"/>
    <n v="12.5"/>
    <n v="498"/>
    <n v="0.25"/>
    <n v="4"/>
    <n v="0"/>
    <m/>
    <x v="102"/>
    <d v="2022-09-24T00:00:00"/>
  </r>
  <r>
    <x v="478"/>
    <x v="0"/>
    <n v="29"/>
    <x v="1"/>
    <x v="0"/>
    <n v="10"/>
    <n v="508"/>
    <n v="0.25"/>
    <n v="4"/>
    <n v="0"/>
    <n v="9.99"/>
    <x v="410"/>
    <d v="2023-01-26T00:00:00"/>
  </r>
  <r>
    <x v="479"/>
    <x v="1"/>
    <n v="39"/>
    <x v="3"/>
    <x v="0"/>
    <n v="6.3"/>
    <n v="477"/>
    <n v="0.1"/>
    <n v="4"/>
    <n v="0"/>
    <n v="7.99"/>
    <x v="141"/>
    <d v="2024-06-30T00:00:00"/>
  </r>
  <r>
    <x v="480"/>
    <x v="1"/>
    <n v="26"/>
    <x v="1"/>
    <x v="0"/>
    <n v="16.8"/>
    <n v="513"/>
    <n v="0.15"/>
    <n v="4"/>
    <n v="0"/>
    <n v="9.99"/>
    <x v="411"/>
    <d v="2024-08-07T00:00:00"/>
  </r>
  <r>
    <x v="481"/>
    <x v="6"/>
    <n v="54"/>
    <x v="2"/>
    <x v="0"/>
    <n v="13.8"/>
    <n v="476"/>
    <n v="0.2"/>
    <n v="4"/>
    <n v="0"/>
    <n v="12.99"/>
    <x v="67"/>
    <d v="2022-12-24T00:00:00"/>
  </r>
  <r>
    <x v="482"/>
    <x v="4"/>
    <n v="52"/>
    <x v="0"/>
    <x v="0"/>
    <n v="1.5"/>
    <n v="515"/>
    <n v="0.2"/>
    <n v="4"/>
    <n v="1"/>
    <n v="9.99"/>
    <x v="412"/>
    <d v="2024-06-22T00:00:00"/>
  </r>
  <r>
    <x v="483"/>
    <x v="6"/>
    <n v="48"/>
    <x v="1"/>
    <x v="0"/>
    <n v="8.6999999999999993"/>
    <n v="511"/>
    <n v="0.3"/>
    <n v="4"/>
    <n v="1"/>
    <m/>
    <x v="413"/>
    <d v="2022-09-18T00:00:00"/>
  </r>
  <r>
    <x v="484"/>
    <x v="6"/>
    <n v="23"/>
    <x v="1"/>
    <x v="0"/>
    <n v="11.6"/>
    <n v="475"/>
    <n v="0.25"/>
    <n v="4"/>
    <n v="1"/>
    <m/>
    <x v="414"/>
    <d v="2022-07-22T00:00:00"/>
  </r>
  <r>
    <x v="485"/>
    <x v="7"/>
    <n v="62"/>
    <x v="1"/>
    <x v="0"/>
    <n v="7.9"/>
    <n v="511"/>
    <n v="0.2"/>
    <n v="4"/>
    <n v="0"/>
    <n v="5"/>
    <x v="415"/>
    <d v="2022-02-02T00:00:00"/>
  </r>
  <r>
    <x v="486"/>
    <x v="4"/>
    <n v="41"/>
    <x v="1"/>
    <x v="0"/>
    <n v="0.6"/>
    <n v="463"/>
    <n v="0.25"/>
    <n v="4"/>
    <n v="1"/>
    <n v="9.99"/>
    <x v="78"/>
    <d v="2022-01-29T00:00:00"/>
  </r>
  <r>
    <x v="487"/>
    <x v="6"/>
    <n v="42"/>
    <x v="1"/>
    <x v="0"/>
    <n v="14.6"/>
    <n v="479"/>
    <n v="0.3"/>
    <n v="4"/>
    <n v="0"/>
    <n v="9.99"/>
    <x v="416"/>
    <d v="2024-07-27T00:00:00"/>
  </r>
  <r>
    <x v="488"/>
    <x v="3"/>
    <n v="56"/>
    <x v="0"/>
    <x v="0"/>
    <n v="14.5"/>
    <n v="531"/>
    <n v="0.25"/>
    <n v="4"/>
    <n v="0"/>
    <m/>
    <x v="417"/>
    <d v="2022-05-29T00:00:00"/>
  </r>
  <r>
    <x v="489"/>
    <x v="6"/>
    <n v="57"/>
    <x v="3"/>
    <x v="0"/>
    <n v="13.9"/>
    <n v="491"/>
    <n v="0.1"/>
    <n v="4"/>
    <n v="1"/>
    <n v="7.99"/>
    <x v="418"/>
    <d v="2024-01-29T00:00:00"/>
  </r>
  <r>
    <x v="490"/>
    <x v="7"/>
    <n v="57"/>
    <x v="1"/>
    <x v="0"/>
    <n v="21.1"/>
    <n v="499"/>
    <n v="0.3"/>
    <n v="4"/>
    <n v="0"/>
    <n v="9.99"/>
    <x v="168"/>
    <d v="2023-04-14T00:00:00"/>
  </r>
  <r>
    <x v="491"/>
    <x v="6"/>
    <n v="44"/>
    <x v="3"/>
    <x v="0"/>
    <n v="16.399999999999999"/>
    <n v="493"/>
    <n v="0.1"/>
    <n v="4"/>
    <n v="0"/>
    <n v="7.99"/>
    <x v="419"/>
    <d v="2022-01-23T00:00:00"/>
  </r>
  <r>
    <x v="492"/>
    <x v="7"/>
    <n v="29"/>
    <x v="3"/>
    <x v="0"/>
    <n v="12.5"/>
    <n v="475"/>
    <n v="0.1"/>
    <n v="4"/>
    <n v="1"/>
    <n v="7.99"/>
    <x v="420"/>
    <d v="2023-10-29T00:00:00"/>
  </r>
  <r>
    <x v="493"/>
    <x v="5"/>
    <n v="22"/>
    <x v="1"/>
    <x v="0"/>
    <n v="11.1"/>
    <n v="490"/>
    <n v="0.2"/>
    <n v="4"/>
    <n v="0"/>
    <n v="12.99"/>
    <x v="421"/>
    <d v="2022-11-19T00:00:00"/>
  </r>
  <r>
    <x v="494"/>
    <x v="5"/>
    <n v="63"/>
    <x v="3"/>
    <x v="0"/>
    <n v="10.7"/>
    <n v="528"/>
    <n v="0.2"/>
    <n v="4"/>
    <n v="0"/>
    <n v="7.99"/>
    <x v="422"/>
    <d v="2022-09-29T00:00:00"/>
  </r>
  <r>
    <x v="495"/>
    <x v="5"/>
    <n v="37"/>
    <x v="2"/>
    <x v="0"/>
    <n v="10.7"/>
    <n v="544"/>
    <n v="0.1"/>
    <n v="4"/>
    <n v="0"/>
    <n v="7.99"/>
    <x v="423"/>
    <d v="2023-03-23T00:00:00"/>
  </r>
  <r>
    <x v="496"/>
    <x v="4"/>
    <n v="40"/>
    <x v="3"/>
    <x v="0"/>
    <n v="17"/>
    <n v="500"/>
    <n v="0.1"/>
    <n v="4"/>
    <n v="0"/>
    <n v="9.99"/>
    <x v="424"/>
    <d v="2023-03-31T00:00:00"/>
  </r>
  <r>
    <x v="497"/>
    <x v="5"/>
    <n v="53"/>
    <x v="1"/>
    <x v="0"/>
    <n v="10.199999999999999"/>
    <n v="459"/>
    <n v="0.2"/>
    <n v="4"/>
    <n v="0"/>
    <m/>
    <x v="66"/>
    <d v="2022-11-25T00:00:00"/>
  </r>
  <r>
    <x v="498"/>
    <x v="5"/>
    <n v="30"/>
    <x v="3"/>
    <x v="1"/>
    <n v="4.4000000000000004"/>
    <n v="466"/>
    <n v="0.2"/>
    <n v="4"/>
    <n v="0"/>
    <n v="0"/>
    <x v="82"/>
    <d v="2022-12-15T00:00:00"/>
  </r>
  <r>
    <x v="499"/>
    <x v="2"/>
    <n v="37"/>
    <x v="3"/>
    <x v="1"/>
    <n v="16"/>
    <n v="498"/>
    <n v="0.25"/>
    <n v="4"/>
    <n v="1"/>
    <n v="0"/>
    <x v="425"/>
    <d v="2023-02-09T00:00:00"/>
  </r>
  <r>
    <x v="500"/>
    <x v="3"/>
    <n v="61"/>
    <x v="0"/>
    <x v="1"/>
    <n v="14.5"/>
    <n v="522"/>
    <n v="0.1"/>
    <n v="4"/>
    <n v="1"/>
    <n v="0"/>
    <x v="426"/>
    <d v="2022-01-10T00:00:00"/>
  </r>
  <r>
    <x v="501"/>
    <x v="1"/>
    <n v="63"/>
    <x v="1"/>
    <x v="1"/>
    <n v="9"/>
    <n v="495"/>
    <n v="0.1"/>
    <n v="4"/>
    <n v="0"/>
    <n v="0"/>
    <x v="427"/>
    <d v="2024-02-23T00:00:00"/>
  </r>
  <r>
    <x v="502"/>
    <x v="3"/>
    <n v="27"/>
    <x v="1"/>
    <x v="1"/>
    <n v="8.1999999999999993"/>
    <n v="510"/>
    <n v="0.1"/>
    <n v="4"/>
    <n v="0"/>
    <n v="0"/>
    <x v="428"/>
    <d v="2022-04-06T00:00:00"/>
  </r>
  <r>
    <x v="503"/>
    <x v="5"/>
    <n v="63"/>
    <x v="1"/>
    <x v="1"/>
    <n v="7.4"/>
    <n v="517"/>
    <n v="0.3"/>
    <n v="4"/>
    <n v="0"/>
    <n v="0"/>
    <x v="429"/>
    <d v="2023-09-05T00:00:00"/>
  </r>
  <r>
    <x v="504"/>
    <x v="6"/>
    <n v="56"/>
    <x v="3"/>
    <x v="1"/>
    <n v="4.9000000000000004"/>
    <n v="475"/>
    <n v="0.2"/>
    <n v="4"/>
    <n v="1"/>
    <n v="0"/>
    <x v="430"/>
    <d v="2024-08-30T00:00:00"/>
  </r>
  <r>
    <x v="505"/>
    <x v="4"/>
    <n v="14"/>
    <x v="0"/>
    <x v="1"/>
    <n v="12.9"/>
    <n v="500"/>
    <n v="0.25"/>
    <n v="4"/>
    <n v="0"/>
    <n v="0"/>
    <x v="431"/>
    <d v="2023-11-06T00:00:00"/>
  </r>
  <r>
    <x v="506"/>
    <x v="1"/>
    <n v="34"/>
    <x v="3"/>
    <x v="1"/>
    <n v="17.8"/>
    <n v="517"/>
    <n v="0.15"/>
    <n v="4"/>
    <n v="0"/>
    <n v="0"/>
    <x v="432"/>
    <d v="2023-08-29T00:00:00"/>
  </r>
  <r>
    <x v="507"/>
    <x v="6"/>
    <n v="43"/>
    <x v="3"/>
    <x v="1"/>
    <n v="14.2"/>
    <n v="489"/>
    <n v="0.3"/>
    <n v="4"/>
    <n v="0"/>
    <n v="0"/>
    <x v="433"/>
    <d v="2023-07-22T00:00:00"/>
  </r>
  <r>
    <x v="508"/>
    <x v="1"/>
    <n v="17"/>
    <x v="3"/>
    <x v="1"/>
    <n v="12.4"/>
    <n v="488"/>
    <n v="0.05"/>
    <n v="4"/>
    <n v="1"/>
    <n v="0"/>
    <x v="434"/>
    <d v="2024-06-21T00:00:00"/>
  </r>
  <r>
    <x v="509"/>
    <x v="6"/>
    <n v="32"/>
    <x v="0"/>
    <x v="1"/>
    <n v="15.6"/>
    <n v="481"/>
    <n v="0.25"/>
    <n v="4"/>
    <n v="1"/>
    <n v="0"/>
    <x v="141"/>
    <d v="2024-06-30T00:00:00"/>
  </r>
  <r>
    <x v="510"/>
    <x v="0"/>
    <n v="55"/>
    <x v="3"/>
    <x v="1"/>
    <n v="10.6"/>
    <n v="496"/>
    <n v="0.25"/>
    <n v="4"/>
    <n v="1"/>
    <n v="0"/>
    <x v="435"/>
    <d v="2024-05-28T00:00:00"/>
  </r>
  <r>
    <x v="511"/>
    <x v="7"/>
    <n v="63"/>
    <x v="0"/>
    <x v="1"/>
    <n v="6.5"/>
    <n v="530"/>
    <n v="0.15"/>
    <n v="4"/>
    <n v="0"/>
    <n v="0"/>
    <x v="436"/>
    <d v="2022-08-11T00:00:00"/>
  </r>
  <r>
    <x v="512"/>
    <x v="6"/>
    <n v="14"/>
    <x v="3"/>
    <x v="1"/>
    <n v="14.5"/>
    <n v="474"/>
    <n v="0.15"/>
    <n v="4"/>
    <n v="0"/>
    <n v="0"/>
    <x v="437"/>
    <d v="2024-03-25T00:00:00"/>
  </r>
  <r>
    <x v="513"/>
    <x v="4"/>
    <n v="41"/>
    <x v="0"/>
    <x v="1"/>
    <n v="11.2"/>
    <n v="495"/>
    <n v="0.1"/>
    <n v="4"/>
    <n v="0"/>
    <n v="0"/>
    <x v="352"/>
    <d v="2023-04-17T00:00:00"/>
  </r>
  <r>
    <x v="514"/>
    <x v="3"/>
    <n v="45"/>
    <x v="1"/>
    <x v="1"/>
    <n v="5.0999999999999996"/>
    <n v="526"/>
    <n v="0.1"/>
    <n v="4"/>
    <n v="0"/>
    <n v="0"/>
    <x v="438"/>
    <d v="2024-07-17T00:00:00"/>
  </r>
  <r>
    <x v="515"/>
    <x v="6"/>
    <n v="46"/>
    <x v="3"/>
    <x v="1"/>
    <n v="16"/>
    <n v="505"/>
    <n v="0.3"/>
    <n v="4"/>
    <n v="0"/>
    <n v="0"/>
    <x v="439"/>
    <d v="2024-08-14T00:00:00"/>
  </r>
  <r>
    <x v="516"/>
    <x v="4"/>
    <n v="29"/>
    <x v="0"/>
    <x v="1"/>
    <n v="11.8"/>
    <n v="486"/>
    <n v="0.2"/>
    <n v="4"/>
    <n v="0"/>
    <n v="0"/>
    <x v="440"/>
    <d v="2023-12-15T00:00:00"/>
  </r>
  <r>
    <x v="517"/>
    <x v="5"/>
    <n v="21"/>
    <x v="2"/>
    <x v="1"/>
    <n v="10.8"/>
    <n v="499"/>
    <n v="0.25"/>
    <n v="4"/>
    <n v="0"/>
    <n v="0"/>
    <x v="441"/>
    <d v="2023-01-14T00:00:00"/>
  </r>
  <r>
    <x v="518"/>
    <x v="7"/>
    <n v="17"/>
    <x v="1"/>
    <x v="1"/>
    <n v="5.7"/>
    <n v="472"/>
    <n v="0.2"/>
    <n v="4"/>
    <n v="0"/>
    <n v="0"/>
    <x v="442"/>
    <d v="2023-09-30T00:00:00"/>
  </r>
  <r>
    <x v="519"/>
    <x v="6"/>
    <n v="22"/>
    <x v="3"/>
    <x v="1"/>
    <n v="2.2999999999999998"/>
    <n v="493"/>
    <n v="0.15"/>
    <n v="4"/>
    <n v="1"/>
    <n v="0"/>
    <x v="443"/>
    <d v="2022-07-21T00:00:00"/>
  </r>
  <r>
    <x v="520"/>
    <x v="0"/>
    <n v="21"/>
    <x v="1"/>
    <x v="1"/>
    <n v="12.6"/>
    <n v="508"/>
    <n v="0.2"/>
    <n v="4"/>
    <n v="1"/>
    <n v="0"/>
    <x v="444"/>
    <d v="2023-08-14T00:00:00"/>
  </r>
  <r>
    <x v="521"/>
    <x v="3"/>
    <n v="55"/>
    <x v="1"/>
    <x v="1"/>
    <n v="2.5"/>
    <n v="513"/>
    <n v="0.1"/>
    <n v="4"/>
    <n v="1"/>
    <n v="0"/>
    <x v="445"/>
    <d v="2022-07-17T00:00:00"/>
  </r>
  <r>
    <x v="522"/>
    <x v="6"/>
    <n v="61"/>
    <x v="3"/>
    <x v="1"/>
    <n v="7.1"/>
    <n v="514"/>
    <n v="0.2"/>
    <n v="4"/>
    <n v="0"/>
    <n v="0"/>
    <x v="446"/>
    <d v="2023-06-02T00:00:00"/>
  </r>
  <r>
    <x v="523"/>
    <x v="6"/>
    <n v="37"/>
    <x v="1"/>
    <x v="1"/>
    <n v="13.9"/>
    <n v="512"/>
    <n v="0.2"/>
    <n v="4"/>
    <n v="1"/>
    <n v="0"/>
    <x v="24"/>
    <d v="2024-02-07T00:00:00"/>
  </r>
  <r>
    <x v="524"/>
    <x v="2"/>
    <n v="29"/>
    <x v="3"/>
    <x v="1"/>
    <n v="10"/>
    <n v="484"/>
    <n v="0.3"/>
    <n v="4"/>
    <n v="0"/>
    <n v="0"/>
    <x v="447"/>
    <d v="2023-02-22T00:00:00"/>
  </r>
  <r>
    <x v="525"/>
    <x v="4"/>
    <n v="51"/>
    <x v="3"/>
    <x v="2"/>
    <n v="13.7"/>
    <n v="498"/>
    <n v="0.1"/>
    <n v="4"/>
    <n v="0"/>
    <n v="9.99"/>
    <x v="448"/>
    <d v="2022-11-03T00:00:00"/>
  </r>
  <r>
    <x v="526"/>
    <x v="6"/>
    <n v="61"/>
    <x v="1"/>
    <x v="2"/>
    <n v="16.5"/>
    <n v="510"/>
    <n v="0.2"/>
    <n v="4"/>
    <n v="0"/>
    <m/>
    <x v="449"/>
    <d v="2023-06-27T00:00:00"/>
  </r>
  <r>
    <x v="527"/>
    <x v="5"/>
    <n v="63"/>
    <x v="2"/>
    <x v="2"/>
    <n v="0.3"/>
    <n v="522"/>
    <n v="0.1"/>
    <n v="4"/>
    <n v="0"/>
    <n v="12.99"/>
    <x v="450"/>
    <d v="2023-10-13T00:00:00"/>
  </r>
  <r>
    <x v="528"/>
    <x v="7"/>
    <n v="59"/>
    <x v="1"/>
    <x v="2"/>
    <n v="3.7"/>
    <n v="507"/>
    <n v="0.3"/>
    <n v="4"/>
    <n v="1"/>
    <n v="7.99"/>
    <x v="451"/>
    <d v="2022-10-31T00:00:00"/>
  </r>
  <r>
    <x v="529"/>
    <x v="2"/>
    <n v="47"/>
    <x v="3"/>
    <x v="2"/>
    <n v="8.6999999999999993"/>
    <n v="502"/>
    <n v="0.15"/>
    <n v="4"/>
    <n v="0"/>
    <n v="5"/>
    <x v="452"/>
    <d v="2023-08-01T00:00:00"/>
  </r>
  <r>
    <x v="530"/>
    <x v="7"/>
    <n v="14"/>
    <x v="3"/>
    <x v="2"/>
    <n v="5.2"/>
    <n v="523"/>
    <n v="0.2"/>
    <n v="4"/>
    <n v="0"/>
    <m/>
    <x v="453"/>
    <d v="2024-02-16T00:00:00"/>
  </r>
  <r>
    <x v="531"/>
    <x v="2"/>
    <n v="38"/>
    <x v="0"/>
    <x v="2"/>
    <n v="17.600000000000001"/>
    <n v="505"/>
    <n v="0.25"/>
    <n v="4"/>
    <n v="0"/>
    <m/>
    <x v="454"/>
    <d v="2024-03-17T00:00:00"/>
  </r>
  <r>
    <x v="532"/>
    <x v="6"/>
    <n v="43"/>
    <x v="3"/>
    <x v="2"/>
    <n v="23.3"/>
    <n v="502"/>
    <n v="0.3"/>
    <n v="4"/>
    <n v="0"/>
    <m/>
    <x v="455"/>
    <d v="2022-03-03T00:00:00"/>
  </r>
  <r>
    <x v="533"/>
    <x v="4"/>
    <n v="64"/>
    <x v="3"/>
    <x v="2"/>
    <n v="8.1"/>
    <n v="485"/>
    <n v="0.1"/>
    <n v="4"/>
    <n v="1"/>
    <n v="9.99"/>
    <x v="340"/>
    <d v="2023-09-06T00:00:00"/>
  </r>
  <r>
    <x v="534"/>
    <x v="6"/>
    <n v="16"/>
    <x v="1"/>
    <x v="2"/>
    <n v="10.3"/>
    <n v="498"/>
    <n v="0.3"/>
    <n v="4"/>
    <n v="0"/>
    <n v="7.99"/>
    <x v="456"/>
    <d v="2023-07-29T00:00:00"/>
  </r>
  <r>
    <x v="535"/>
    <x v="1"/>
    <n v="13"/>
    <x v="3"/>
    <x v="2"/>
    <n v="7.6"/>
    <n v="495"/>
    <n v="0.2"/>
    <n v="4"/>
    <n v="1"/>
    <n v="9.99"/>
    <x v="457"/>
    <d v="2022-03-12T00:00:00"/>
  </r>
  <r>
    <x v="536"/>
    <x v="8"/>
    <n v="52"/>
    <x v="1"/>
    <x v="2"/>
    <n v="8.6999999999999993"/>
    <n v="566"/>
    <n v="0.2"/>
    <n v="4"/>
    <n v="0"/>
    <n v="9.99"/>
    <x v="458"/>
    <d v="2023-03-22T00:00:00"/>
  </r>
  <r>
    <x v="537"/>
    <x v="7"/>
    <n v="38"/>
    <x v="3"/>
    <x v="2"/>
    <n v="11.3"/>
    <n v="497"/>
    <n v="0.15"/>
    <n v="4"/>
    <n v="1"/>
    <n v="9.99"/>
    <x v="459"/>
    <d v="2022-10-23T00:00:00"/>
  </r>
  <r>
    <x v="538"/>
    <x v="1"/>
    <n v="55"/>
    <x v="3"/>
    <x v="2"/>
    <n v="5.5"/>
    <n v="517"/>
    <n v="0.05"/>
    <n v="4"/>
    <n v="0"/>
    <m/>
    <x v="460"/>
    <d v="2023-10-25T00:00:00"/>
  </r>
  <r>
    <x v="539"/>
    <x v="0"/>
    <n v="13"/>
    <x v="3"/>
    <x v="2"/>
    <n v="14"/>
    <n v="475"/>
    <n v="0.25"/>
    <n v="4"/>
    <n v="0"/>
    <n v="7.99"/>
    <x v="184"/>
    <d v="2023-11-05T00:00:00"/>
  </r>
  <r>
    <x v="540"/>
    <x v="6"/>
    <n v="14"/>
    <x v="1"/>
    <x v="2"/>
    <n v="13.8"/>
    <n v="522"/>
    <n v="0.25"/>
    <n v="4"/>
    <n v="1"/>
    <n v="9.99"/>
    <x v="461"/>
    <d v="2022-09-18T00:00:00"/>
  </r>
  <r>
    <x v="541"/>
    <x v="0"/>
    <n v="64"/>
    <x v="1"/>
    <x v="2"/>
    <n v="7"/>
    <n v="482"/>
    <n v="0.3"/>
    <n v="4"/>
    <n v="0"/>
    <n v="9.99"/>
    <x v="462"/>
    <d v="2024-05-19T00:00:00"/>
  </r>
  <r>
    <x v="542"/>
    <x v="6"/>
    <n v="46"/>
    <x v="1"/>
    <x v="2"/>
    <n v="2.4"/>
    <n v="504"/>
    <n v="0.05"/>
    <n v="4"/>
    <n v="0"/>
    <n v="12.99"/>
    <x v="463"/>
    <d v="2024-01-05T00:00:00"/>
  </r>
  <r>
    <x v="543"/>
    <x v="4"/>
    <n v="42"/>
    <x v="1"/>
    <x v="2"/>
    <n v="3.6"/>
    <n v="525"/>
    <n v="0.15"/>
    <n v="4"/>
    <n v="0"/>
    <n v="9.99"/>
    <x v="464"/>
    <d v="2022-09-15T00:00:00"/>
  </r>
  <r>
    <x v="544"/>
    <x v="1"/>
    <n v="14"/>
    <x v="0"/>
    <x v="2"/>
    <n v="10.199999999999999"/>
    <n v="518"/>
    <n v="0.1"/>
    <n v="4"/>
    <n v="0"/>
    <n v="9.99"/>
    <x v="280"/>
    <d v="2024-03-03T00:00:00"/>
  </r>
  <r>
    <x v="545"/>
    <x v="2"/>
    <n v="44"/>
    <x v="3"/>
    <x v="2"/>
    <n v="15.1"/>
    <n v="456"/>
    <n v="0.1"/>
    <n v="4"/>
    <n v="1"/>
    <n v="7.99"/>
    <x v="4"/>
    <d v="2023-09-14T00:00:00"/>
  </r>
  <r>
    <x v="546"/>
    <x v="2"/>
    <n v="62"/>
    <x v="1"/>
    <x v="2"/>
    <n v="12.5"/>
    <n v="478"/>
    <n v="0.2"/>
    <n v="4"/>
    <n v="0"/>
    <n v="9.99"/>
    <x v="465"/>
    <d v="2024-01-27T00:00:00"/>
  </r>
  <r>
    <x v="547"/>
    <x v="6"/>
    <n v="59"/>
    <x v="3"/>
    <x v="2"/>
    <n v="5.8"/>
    <n v="500"/>
    <n v="0.1"/>
    <n v="4"/>
    <n v="0"/>
    <n v="5"/>
    <x v="466"/>
    <d v="2022-08-20T00:00:00"/>
  </r>
  <r>
    <x v="548"/>
    <x v="7"/>
    <n v="41"/>
    <x v="2"/>
    <x v="2"/>
    <n v="8.1999999999999993"/>
    <n v="497"/>
    <n v="0.1"/>
    <n v="4"/>
    <n v="0"/>
    <n v="7.99"/>
    <x v="29"/>
    <d v="2023-05-06T00:00:00"/>
  </r>
  <r>
    <x v="549"/>
    <x v="6"/>
    <n v="23"/>
    <x v="1"/>
    <x v="2"/>
    <n v="6.5"/>
    <n v="504"/>
    <n v="0.1"/>
    <n v="4"/>
    <n v="1"/>
    <n v="7.99"/>
    <x v="467"/>
    <d v="2023-05-10T00:00:00"/>
  </r>
  <r>
    <x v="550"/>
    <x v="8"/>
    <n v="44"/>
    <x v="3"/>
    <x v="2"/>
    <n v="13.6"/>
    <n v="521"/>
    <n v="0.25"/>
    <n v="4"/>
    <n v="0"/>
    <n v="5"/>
    <x v="468"/>
    <d v="2023-05-12T00:00:00"/>
  </r>
  <r>
    <x v="551"/>
    <x v="4"/>
    <n v="43"/>
    <x v="3"/>
    <x v="2"/>
    <n v="6"/>
    <n v="519"/>
    <n v="0.25"/>
    <n v="4"/>
    <n v="0"/>
    <n v="7.99"/>
    <x v="469"/>
    <d v="2023-06-11T00:00:00"/>
  </r>
  <r>
    <x v="552"/>
    <x v="7"/>
    <n v="53"/>
    <x v="0"/>
    <x v="2"/>
    <n v="4.0999999999999996"/>
    <n v="503"/>
    <n v="0.1"/>
    <n v="4"/>
    <n v="0"/>
    <n v="9.99"/>
    <x v="470"/>
    <d v="2022-05-13T00:00:00"/>
  </r>
  <r>
    <x v="553"/>
    <x v="4"/>
    <n v="16"/>
    <x v="1"/>
    <x v="2"/>
    <n v="10.199999999999999"/>
    <n v="523"/>
    <n v="0.3"/>
    <n v="4"/>
    <n v="0"/>
    <n v="7.99"/>
    <x v="471"/>
    <d v="2022-09-26T00:00:00"/>
  </r>
  <r>
    <x v="554"/>
    <x v="0"/>
    <n v="51"/>
    <x v="1"/>
    <x v="2"/>
    <n v="9.6999999999999993"/>
    <n v="467"/>
    <n v="0.05"/>
    <n v="4"/>
    <n v="1"/>
    <m/>
    <x v="472"/>
    <d v="2023-02-26T00:00:00"/>
  </r>
  <r>
    <x v="555"/>
    <x v="4"/>
    <n v="24"/>
    <x v="0"/>
    <x v="2"/>
    <n v="8.5"/>
    <n v="514"/>
    <n v="0.15"/>
    <n v="4"/>
    <n v="1"/>
    <m/>
    <x v="200"/>
    <d v="2023-07-15T00:00:00"/>
  </r>
  <r>
    <x v="556"/>
    <x v="3"/>
    <n v="53"/>
    <x v="3"/>
    <x v="2"/>
    <n v="4.4000000000000004"/>
    <n v="497"/>
    <n v="0.2"/>
    <n v="4"/>
    <n v="0"/>
    <n v="7.99"/>
    <x v="165"/>
    <d v="2024-12-08T00:00:00"/>
  </r>
  <r>
    <x v="557"/>
    <x v="3"/>
    <n v="41"/>
    <x v="1"/>
    <x v="2"/>
    <n v="14.4"/>
    <n v="512"/>
    <n v="0.2"/>
    <n v="4"/>
    <n v="0"/>
    <n v="9.99"/>
    <x v="254"/>
    <d v="2022-05-07T00:00:00"/>
  </r>
  <r>
    <x v="558"/>
    <x v="5"/>
    <n v="38"/>
    <x v="1"/>
    <x v="2"/>
    <n v="7.8"/>
    <n v="488"/>
    <n v="0.2"/>
    <n v="4"/>
    <n v="1"/>
    <n v="12.99"/>
    <x v="473"/>
    <d v="2024-06-03T00:00:00"/>
  </r>
  <r>
    <x v="559"/>
    <x v="1"/>
    <n v="35"/>
    <x v="0"/>
    <x v="2"/>
    <n v="7.3"/>
    <n v="526"/>
    <n v="0.3"/>
    <n v="4"/>
    <n v="1"/>
    <n v="7.99"/>
    <x v="398"/>
    <d v="2023-03-10T00:00:00"/>
  </r>
  <r>
    <x v="120"/>
    <x v="6"/>
    <n v="50"/>
    <x v="1"/>
    <x v="3"/>
    <n v="0.9"/>
    <n v="533"/>
    <n v="0.1"/>
    <n v="4"/>
    <n v="0"/>
    <m/>
    <x v="254"/>
    <d v="2022-05-07T00:00:00"/>
  </r>
  <r>
    <x v="120"/>
    <x v="0"/>
    <n v="22"/>
    <x v="1"/>
    <x v="3"/>
    <n v="4.4000000000000004"/>
    <n v="455"/>
    <n v="0.3"/>
    <n v="4"/>
    <n v="0"/>
    <n v="7.99"/>
    <x v="474"/>
    <d v="2024-01-21T00:00:00"/>
  </r>
  <r>
    <x v="560"/>
    <x v="6"/>
    <n v="30"/>
    <x v="3"/>
    <x v="3"/>
    <n v="19.2"/>
    <n v="458"/>
    <n v="0.3"/>
    <n v="4"/>
    <n v="0"/>
    <n v="7.99"/>
    <x v="475"/>
    <d v="2023-07-21T00:00:00"/>
  </r>
  <r>
    <x v="561"/>
    <x v="4"/>
    <n v="21"/>
    <x v="3"/>
    <x v="3"/>
    <n v="19"/>
    <n v="474"/>
    <n v="0.1"/>
    <n v="4"/>
    <n v="0"/>
    <n v="7.99"/>
    <x v="476"/>
    <d v="2022-02-16T00:00:00"/>
  </r>
  <r>
    <x v="562"/>
    <x v="1"/>
    <n v="45"/>
    <x v="1"/>
    <x v="3"/>
    <n v="13.3"/>
    <n v="530"/>
    <n v="0.2"/>
    <n v="4"/>
    <n v="0"/>
    <n v="7.99"/>
    <x v="477"/>
    <d v="2023-12-05T00:00:00"/>
  </r>
  <r>
    <x v="563"/>
    <x v="0"/>
    <n v="14"/>
    <x v="1"/>
    <x v="3"/>
    <n v="6.4"/>
    <n v="488"/>
    <n v="0.1"/>
    <n v="4"/>
    <n v="0"/>
    <n v="9.99"/>
    <x v="478"/>
    <d v="2022-01-01T00:00:00"/>
  </r>
  <r>
    <x v="564"/>
    <x v="4"/>
    <n v="21"/>
    <x v="3"/>
    <x v="3"/>
    <n v="10.6"/>
    <n v="461"/>
    <n v="0.3"/>
    <n v="4"/>
    <n v="1"/>
    <n v="7.99"/>
    <x v="479"/>
    <d v="2023-05-20T00:00:00"/>
  </r>
  <r>
    <x v="565"/>
    <x v="6"/>
    <n v="34"/>
    <x v="2"/>
    <x v="3"/>
    <n v="14.5"/>
    <n v="508"/>
    <n v="0.3"/>
    <n v="4"/>
    <n v="0"/>
    <n v="7.99"/>
    <x v="240"/>
    <d v="2022-11-08T00:00:00"/>
  </r>
  <r>
    <x v="566"/>
    <x v="1"/>
    <n v="59"/>
    <x v="3"/>
    <x v="3"/>
    <n v="11.9"/>
    <n v="513"/>
    <n v="0.3"/>
    <n v="4"/>
    <n v="0"/>
    <n v="7.99"/>
    <x v="480"/>
    <d v="2022-07-15T00:00:00"/>
  </r>
  <r>
    <x v="567"/>
    <x v="8"/>
    <n v="36"/>
    <x v="1"/>
    <x v="3"/>
    <n v="8.9"/>
    <n v="471"/>
    <n v="0.1"/>
    <n v="4"/>
    <n v="0"/>
    <m/>
    <x v="481"/>
    <d v="2023-04-16T00:00:00"/>
  </r>
  <r>
    <x v="568"/>
    <x v="7"/>
    <n v="41"/>
    <x v="3"/>
    <x v="3"/>
    <n v="7.4"/>
    <n v="511"/>
    <n v="0.1"/>
    <n v="4"/>
    <n v="1"/>
    <n v="7.99"/>
    <x v="156"/>
    <d v="2022-01-03T00:00:00"/>
  </r>
  <r>
    <x v="569"/>
    <x v="1"/>
    <n v="13"/>
    <x v="3"/>
    <x v="3"/>
    <n v="9.8000000000000007"/>
    <n v="481"/>
    <n v="0.15"/>
    <n v="4"/>
    <n v="0"/>
    <n v="7.99"/>
    <x v="482"/>
    <d v="2022-02-19T00:00:00"/>
  </r>
  <r>
    <x v="570"/>
    <x v="8"/>
    <n v="57"/>
    <x v="1"/>
    <x v="3"/>
    <n v="11.6"/>
    <n v="510"/>
    <n v="0.05"/>
    <n v="4"/>
    <n v="1"/>
    <n v="5"/>
    <x v="130"/>
    <d v="2022-10-03T00:00:00"/>
  </r>
  <r>
    <x v="571"/>
    <x v="6"/>
    <n v="63"/>
    <x v="1"/>
    <x v="3"/>
    <n v="6.8"/>
    <n v="479"/>
    <n v="0.15"/>
    <n v="4"/>
    <n v="0"/>
    <n v="7.99"/>
    <x v="104"/>
    <d v="2023-04-23T00:00:00"/>
  </r>
  <r>
    <x v="572"/>
    <x v="4"/>
    <n v="21"/>
    <x v="2"/>
    <x v="3"/>
    <n v="11.5"/>
    <n v="514"/>
    <n v="0.25"/>
    <n v="4"/>
    <n v="1"/>
    <n v="9.99"/>
    <x v="483"/>
    <d v="2024-02-13T00:00:00"/>
  </r>
  <r>
    <x v="573"/>
    <x v="1"/>
    <n v="55"/>
    <x v="1"/>
    <x v="3"/>
    <n v="3.9"/>
    <n v="499"/>
    <n v="0.05"/>
    <n v="4"/>
    <n v="0"/>
    <m/>
    <x v="484"/>
    <d v="2022-04-13T00:00:00"/>
  </r>
  <r>
    <x v="574"/>
    <x v="0"/>
    <n v="22"/>
    <x v="3"/>
    <x v="3"/>
    <n v="10.3"/>
    <n v="494"/>
    <n v="0.2"/>
    <n v="4"/>
    <n v="1"/>
    <m/>
    <x v="485"/>
    <d v="2023-10-23T00:00:00"/>
  </r>
  <r>
    <x v="575"/>
    <x v="5"/>
    <n v="20"/>
    <x v="1"/>
    <x v="3"/>
    <n v="6.9"/>
    <n v="482"/>
    <n v="0.2"/>
    <n v="4"/>
    <n v="1"/>
    <n v="7.99"/>
    <x v="486"/>
    <d v="2022-08-21T00:00:00"/>
  </r>
  <r>
    <x v="576"/>
    <x v="0"/>
    <n v="38"/>
    <x v="2"/>
    <x v="3"/>
    <n v="8.1999999999999993"/>
    <n v="517"/>
    <n v="0.2"/>
    <n v="4"/>
    <n v="0"/>
    <n v="9.99"/>
    <x v="487"/>
    <d v="2022-02-11T00:00:00"/>
  </r>
  <r>
    <x v="577"/>
    <x v="5"/>
    <n v="63"/>
    <x v="3"/>
    <x v="3"/>
    <n v="8.5"/>
    <n v="462"/>
    <n v="0.2"/>
    <n v="4"/>
    <n v="1"/>
    <m/>
    <x v="488"/>
    <d v="2023-12-13T00:00:00"/>
  </r>
  <r>
    <x v="578"/>
    <x v="6"/>
    <n v="58"/>
    <x v="3"/>
    <x v="3"/>
    <n v="11.4"/>
    <n v="496"/>
    <n v="0.2"/>
    <n v="4"/>
    <n v="1"/>
    <n v="9.99"/>
    <x v="489"/>
    <d v="2023-10-03T00:00:00"/>
  </r>
  <r>
    <x v="579"/>
    <x v="6"/>
    <n v="38"/>
    <x v="0"/>
    <x v="3"/>
    <n v="5.8"/>
    <n v="484"/>
    <n v="0.3"/>
    <n v="4"/>
    <n v="1"/>
    <n v="7.99"/>
    <x v="297"/>
    <d v="2022-04-05T00:00:00"/>
  </r>
  <r>
    <x v="580"/>
    <x v="6"/>
    <n v="50"/>
    <x v="3"/>
    <x v="3"/>
    <n v="10.3"/>
    <n v="519"/>
    <n v="0.05"/>
    <n v="4"/>
    <n v="1"/>
    <n v="12.99"/>
    <x v="490"/>
    <d v="2023-11-22T00:00:00"/>
  </r>
  <r>
    <x v="581"/>
    <x v="5"/>
    <n v="40"/>
    <x v="1"/>
    <x v="3"/>
    <n v="18.8"/>
    <n v="480"/>
    <n v="0.1"/>
    <n v="4"/>
    <n v="1"/>
    <n v="9.99"/>
    <x v="491"/>
    <d v="2023-04-13T00:00:00"/>
  </r>
  <r>
    <x v="582"/>
    <x v="6"/>
    <n v="35"/>
    <x v="3"/>
    <x v="3"/>
    <n v="8.9"/>
    <n v="464"/>
    <n v="0.1"/>
    <n v="4"/>
    <n v="1"/>
    <m/>
    <x v="492"/>
    <d v="2023-11-08T00:00:00"/>
  </r>
  <r>
    <x v="583"/>
    <x v="6"/>
    <n v="18"/>
    <x v="3"/>
    <x v="3"/>
    <n v="6.3"/>
    <n v="514"/>
    <n v="0.15"/>
    <n v="4"/>
    <n v="0"/>
    <m/>
    <x v="493"/>
    <d v="2023-04-02T00:00:00"/>
  </r>
  <r>
    <x v="120"/>
    <x v="6"/>
    <n v="26"/>
    <x v="1"/>
    <x v="3"/>
    <n v="10.9"/>
    <n v="490"/>
    <n v="0.2"/>
    <n v="4"/>
    <n v="0"/>
    <n v="9.99"/>
    <x v="494"/>
    <d v="2023-12-25T00:00:00"/>
  </r>
  <r>
    <x v="584"/>
    <x v="7"/>
    <n v="48"/>
    <x v="1"/>
    <x v="3"/>
    <n v="11.3"/>
    <n v="486"/>
    <n v="0.1"/>
    <n v="4"/>
    <n v="1"/>
    <n v="7.99"/>
    <x v="13"/>
    <d v="2022-09-10T00:00:00"/>
  </r>
  <r>
    <x v="585"/>
    <x v="0"/>
    <n v="47"/>
    <x v="3"/>
    <x v="3"/>
    <n v="0.1"/>
    <n v="531"/>
    <n v="0.15"/>
    <n v="4"/>
    <n v="0"/>
    <n v="9.99"/>
    <x v="68"/>
    <d v="2023-09-22T00:00:00"/>
  </r>
  <r>
    <x v="586"/>
    <x v="6"/>
    <n v="59"/>
    <x v="3"/>
    <x v="3"/>
    <n v="19.3"/>
    <n v="464"/>
    <n v="0.2"/>
    <n v="4"/>
    <n v="0"/>
    <n v="9.99"/>
    <x v="495"/>
    <d v="2023-01-16T00:00:00"/>
  </r>
  <r>
    <x v="587"/>
    <x v="3"/>
    <n v="35"/>
    <x v="1"/>
    <x v="3"/>
    <n v="11.4"/>
    <n v="490"/>
    <n v="0.25"/>
    <n v="4"/>
    <n v="1"/>
    <n v="9.99"/>
    <x v="496"/>
    <d v="2024-06-11T00:00:00"/>
  </r>
  <r>
    <x v="588"/>
    <x v="7"/>
    <n v="19"/>
    <x v="3"/>
    <x v="3"/>
    <n v="9.1999999999999993"/>
    <n v="510"/>
    <n v="0.3"/>
    <n v="4"/>
    <n v="0"/>
    <n v="5"/>
    <x v="497"/>
    <d v="2022-06-20T00:00:00"/>
  </r>
  <r>
    <x v="589"/>
    <x v="8"/>
    <n v="51"/>
    <x v="2"/>
    <x v="3"/>
    <n v="8.1"/>
    <n v="484"/>
    <n v="0.1"/>
    <n v="4"/>
    <n v="1"/>
    <n v="7.99"/>
    <x v="498"/>
    <d v="2023-04-06T00:00:00"/>
  </r>
  <r>
    <x v="590"/>
    <x v="6"/>
    <n v="59"/>
    <x v="2"/>
    <x v="3"/>
    <n v="14.4"/>
    <n v="503"/>
    <n v="0.1"/>
    <n v="4"/>
    <n v="1"/>
    <n v="9.99"/>
    <x v="499"/>
    <d v="2024-02-21T00:00:00"/>
  </r>
  <r>
    <x v="591"/>
    <x v="6"/>
    <n v="58"/>
    <x v="3"/>
    <x v="3"/>
    <n v="6.2"/>
    <n v="571"/>
    <n v="0.2"/>
    <n v="4"/>
    <n v="1"/>
    <n v="7.99"/>
    <x v="500"/>
    <d v="2022-03-23T00:00:00"/>
  </r>
  <r>
    <x v="592"/>
    <x v="3"/>
    <n v="52"/>
    <x v="1"/>
    <x v="3"/>
    <n v="4.2"/>
    <n v="471"/>
    <n v="0.05"/>
    <n v="4"/>
    <n v="0"/>
    <m/>
    <x v="501"/>
    <d v="2023-11-17T00:00:00"/>
  </r>
  <r>
    <x v="593"/>
    <x v="0"/>
    <n v="44"/>
    <x v="0"/>
    <x v="3"/>
    <n v="11.8"/>
    <n v="525"/>
    <n v="0.05"/>
    <n v="4"/>
    <n v="0"/>
    <m/>
    <x v="502"/>
    <d v="2022-11-01T00:00:00"/>
  </r>
  <r>
    <x v="594"/>
    <x v="6"/>
    <n v="62"/>
    <x v="0"/>
    <x v="3"/>
    <n v="11.4"/>
    <n v="467"/>
    <n v="0.1"/>
    <n v="4"/>
    <n v="0"/>
    <n v="9.99"/>
    <x v="89"/>
    <d v="2023-06-22T00:00:00"/>
  </r>
  <r>
    <x v="595"/>
    <x v="5"/>
    <n v="35"/>
    <x v="2"/>
    <x v="3"/>
    <n v="10.9"/>
    <n v="482"/>
    <n v="0.15"/>
    <n v="4"/>
    <n v="0"/>
    <n v="7.99"/>
    <x v="503"/>
    <d v="2023-11-30T00:00:00"/>
  </r>
  <r>
    <x v="596"/>
    <x v="1"/>
    <n v="28"/>
    <x v="3"/>
    <x v="3"/>
    <n v="19.100000000000001"/>
    <n v="504"/>
    <n v="0.05"/>
    <n v="4"/>
    <n v="0"/>
    <n v="9.99"/>
    <x v="342"/>
    <d v="2024-07-13T00:00:00"/>
  </r>
  <r>
    <x v="597"/>
    <x v="8"/>
    <n v="35"/>
    <x v="3"/>
    <x v="0"/>
    <n v="11.7"/>
    <n v="516"/>
    <n v="0.25"/>
    <n v="5"/>
    <n v="1"/>
    <n v="7.99"/>
    <x v="196"/>
    <d v="2023-06-14T00:00:00"/>
  </r>
  <r>
    <x v="598"/>
    <x v="6"/>
    <n v="57"/>
    <x v="1"/>
    <x v="0"/>
    <n v="11.9"/>
    <n v="493"/>
    <n v="0.1"/>
    <n v="5"/>
    <n v="1"/>
    <n v="12.99"/>
    <x v="247"/>
    <d v="2023-11-18T00:00:00"/>
  </r>
  <r>
    <x v="599"/>
    <x v="8"/>
    <n v="59"/>
    <x v="3"/>
    <x v="0"/>
    <n v="9.9"/>
    <n v="511"/>
    <n v="0.25"/>
    <n v="5"/>
    <n v="0"/>
    <n v="7.99"/>
    <x v="504"/>
    <d v="2023-02-22T00:00:00"/>
  </r>
  <r>
    <x v="600"/>
    <x v="7"/>
    <n v="40"/>
    <x v="1"/>
    <x v="0"/>
    <n v="3.6"/>
    <n v="509"/>
    <n v="0.25"/>
    <n v="5"/>
    <n v="1"/>
    <n v="7.99"/>
    <x v="194"/>
    <d v="2022-12-13T00:00:00"/>
  </r>
  <r>
    <x v="601"/>
    <x v="6"/>
    <n v="27"/>
    <x v="1"/>
    <x v="0"/>
    <n v="5.4"/>
    <n v="441"/>
    <n v="0.1"/>
    <n v="5"/>
    <n v="1"/>
    <n v="7.99"/>
    <x v="505"/>
    <d v="2023-09-14T00:00:00"/>
  </r>
  <r>
    <x v="602"/>
    <x v="8"/>
    <n v="63"/>
    <x v="1"/>
    <x v="0"/>
    <n v="1"/>
    <n v="503"/>
    <n v="0.1"/>
    <n v="5"/>
    <n v="1"/>
    <n v="9.99"/>
    <x v="431"/>
    <d v="2023-11-06T00:00:00"/>
  </r>
  <r>
    <x v="603"/>
    <x v="6"/>
    <n v="27"/>
    <x v="0"/>
    <x v="0"/>
    <n v="7.8"/>
    <n v="525"/>
    <n v="0.15"/>
    <n v="5"/>
    <n v="1"/>
    <n v="7.99"/>
    <x v="506"/>
    <d v="2022-09-06T00:00:00"/>
  </r>
  <r>
    <x v="604"/>
    <x v="1"/>
    <n v="41"/>
    <x v="2"/>
    <x v="0"/>
    <n v="0.9"/>
    <n v="500"/>
    <n v="0.15"/>
    <n v="5"/>
    <n v="0"/>
    <n v="7.99"/>
    <x v="507"/>
    <d v="2023-06-14T00:00:00"/>
  </r>
  <r>
    <x v="605"/>
    <x v="7"/>
    <n v="43"/>
    <x v="3"/>
    <x v="0"/>
    <n v="12.3"/>
    <n v="535"/>
    <n v="0.1"/>
    <n v="5"/>
    <n v="1"/>
    <n v="9.99"/>
    <x v="250"/>
    <d v="2022-10-28T00:00:00"/>
  </r>
  <r>
    <x v="606"/>
    <x v="6"/>
    <n v="59"/>
    <x v="2"/>
    <x v="0"/>
    <n v="18.2"/>
    <n v="484"/>
    <n v="0.2"/>
    <n v="5"/>
    <n v="0"/>
    <n v="7.99"/>
    <x v="508"/>
    <d v="2024-06-16T00:00:00"/>
  </r>
  <r>
    <x v="607"/>
    <x v="6"/>
    <n v="23"/>
    <x v="1"/>
    <x v="0"/>
    <n v="21.5"/>
    <n v="528"/>
    <n v="0.2"/>
    <n v="5"/>
    <n v="0"/>
    <n v="9.99"/>
    <x v="509"/>
    <d v="2022-06-21T00:00:00"/>
  </r>
  <r>
    <x v="608"/>
    <x v="5"/>
    <n v="13"/>
    <x v="1"/>
    <x v="0"/>
    <n v="7.8"/>
    <n v="498"/>
    <n v="0.3"/>
    <n v="5"/>
    <n v="0"/>
    <n v="7.99"/>
    <x v="222"/>
    <d v="2022-05-12T00:00:00"/>
  </r>
  <r>
    <x v="609"/>
    <x v="2"/>
    <n v="16"/>
    <x v="1"/>
    <x v="0"/>
    <n v="12.1"/>
    <n v="529"/>
    <n v="0.2"/>
    <n v="5"/>
    <n v="1"/>
    <n v="12.99"/>
    <x v="510"/>
    <d v="2023-12-16T00:00:00"/>
  </r>
  <r>
    <x v="610"/>
    <x v="0"/>
    <n v="34"/>
    <x v="3"/>
    <x v="0"/>
    <n v="1.2"/>
    <n v="502"/>
    <n v="0.1"/>
    <n v="5"/>
    <n v="1"/>
    <n v="9.99"/>
    <x v="511"/>
    <d v="2024-04-04T00:00:00"/>
  </r>
  <r>
    <x v="611"/>
    <x v="0"/>
    <n v="49"/>
    <x v="0"/>
    <x v="0"/>
    <n v="10.5"/>
    <n v="507"/>
    <n v="0.1"/>
    <n v="5"/>
    <n v="0"/>
    <n v="9.99"/>
    <x v="512"/>
    <d v="2024-07-24T00:00:00"/>
  </r>
  <r>
    <x v="612"/>
    <x v="7"/>
    <n v="54"/>
    <x v="3"/>
    <x v="0"/>
    <n v="6.7"/>
    <n v="542"/>
    <n v="0.2"/>
    <n v="5"/>
    <n v="0"/>
    <n v="9.99"/>
    <x v="24"/>
    <d v="2024-02-07T00:00:00"/>
  </r>
  <r>
    <x v="613"/>
    <x v="2"/>
    <n v="39"/>
    <x v="3"/>
    <x v="0"/>
    <n v="18.7"/>
    <n v="482"/>
    <n v="0.2"/>
    <n v="5"/>
    <n v="0"/>
    <n v="5"/>
    <x v="143"/>
    <d v="2022-01-31T00:00:00"/>
  </r>
  <r>
    <x v="614"/>
    <x v="4"/>
    <n v="32"/>
    <x v="1"/>
    <x v="0"/>
    <n v="16.399999999999999"/>
    <n v="495"/>
    <n v="0.1"/>
    <n v="5"/>
    <n v="0"/>
    <m/>
    <x v="513"/>
    <d v="2022-12-07T00:00:00"/>
  </r>
  <r>
    <x v="615"/>
    <x v="7"/>
    <n v="32"/>
    <x v="1"/>
    <x v="0"/>
    <n v="11.6"/>
    <n v="505"/>
    <n v="0.2"/>
    <n v="5"/>
    <n v="1"/>
    <n v="7.99"/>
    <x v="31"/>
    <d v="2022-08-03T00:00:00"/>
  </r>
  <r>
    <x v="616"/>
    <x v="8"/>
    <n v="59"/>
    <x v="1"/>
    <x v="0"/>
    <n v="4.7"/>
    <n v="474"/>
    <n v="0.15"/>
    <n v="5"/>
    <n v="1"/>
    <n v="9.99"/>
    <x v="514"/>
    <d v="2022-08-07T00:00:00"/>
  </r>
  <r>
    <x v="617"/>
    <x v="0"/>
    <n v="38"/>
    <x v="2"/>
    <x v="0"/>
    <n v="18.399999999999999"/>
    <n v="501"/>
    <n v="0.25"/>
    <n v="5"/>
    <n v="1"/>
    <n v="5"/>
    <x v="515"/>
    <d v="2023-10-28T00:00:00"/>
  </r>
  <r>
    <x v="618"/>
    <x v="6"/>
    <n v="42"/>
    <x v="3"/>
    <x v="0"/>
    <n v="6.7"/>
    <n v="507"/>
    <n v="0.25"/>
    <n v="5"/>
    <n v="0"/>
    <m/>
    <x v="24"/>
    <d v="2024-02-07T00:00:00"/>
  </r>
  <r>
    <x v="619"/>
    <x v="7"/>
    <n v="38"/>
    <x v="3"/>
    <x v="0"/>
    <n v="12.6"/>
    <n v="456"/>
    <n v="0.05"/>
    <n v="5"/>
    <n v="0"/>
    <m/>
    <x v="379"/>
    <d v="2022-11-07T00:00:00"/>
  </r>
  <r>
    <x v="620"/>
    <x v="8"/>
    <n v="46"/>
    <x v="3"/>
    <x v="0"/>
    <n v="9.6"/>
    <n v="514"/>
    <n v="0.3"/>
    <n v="5"/>
    <n v="0"/>
    <n v="9.99"/>
    <x v="516"/>
    <d v="2023-08-15T00:00:00"/>
  </r>
  <r>
    <x v="621"/>
    <x v="3"/>
    <n v="15"/>
    <x v="3"/>
    <x v="0"/>
    <n v="5.0999999999999996"/>
    <n v="489"/>
    <n v="0.2"/>
    <n v="5"/>
    <n v="0"/>
    <m/>
    <x v="478"/>
    <d v="2022-01-01T00:00:00"/>
  </r>
  <r>
    <x v="622"/>
    <x v="5"/>
    <n v="29"/>
    <x v="3"/>
    <x v="0"/>
    <n v="13.7"/>
    <n v="510"/>
    <n v="0.1"/>
    <n v="5"/>
    <n v="0"/>
    <n v="5"/>
    <x v="517"/>
    <d v="2022-04-20T00:00:00"/>
  </r>
  <r>
    <x v="623"/>
    <x v="6"/>
    <n v="29"/>
    <x v="1"/>
    <x v="0"/>
    <n v="11"/>
    <n v="494"/>
    <n v="0.2"/>
    <n v="5"/>
    <n v="0"/>
    <n v="9.99"/>
    <x v="518"/>
    <d v="2024-06-09T00:00:00"/>
  </r>
  <r>
    <x v="624"/>
    <x v="4"/>
    <n v="52"/>
    <x v="2"/>
    <x v="0"/>
    <n v="10.9"/>
    <n v="480"/>
    <n v="0.05"/>
    <n v="5"/>
    <n v="1"/>
    <n v="9.99"/>
    <x v="519"/>
    <d v="2023-01-06T00:00:00"/>
  </r>
  <r>
    <x v="625"/>
    <x v="4"/>
    <n v="20"/>
    <x v="3"/>
    <x v="0"/>
    <n v="10.5"/>
    <n v="513"/>
    <n v="0.1"/>
    <n v="5"/>
    <n v="0"/>
    <n v="9.99"/>
    <x v="520"/>
    <d v="2022-03-15T00:00:00"/>
  </r>
  <r>
    <x v="626"/>
    <x v="6"/>
    <n v="56"/>
    <x v="1"/>
    <x v="0"/>
    <n v="11.5"/>
    <n v="489"/>
    <n v="0.2"/>
    <n v="5"/>
    <n v="1"/>
    <m/>
    <x v="521"/>
    <d v="2022-12-21T00:00:00"/>
  </r>
  <r>
    <x v="627"/>
    <x v="6"/>
    <n v="49"/>
    <x v="1"/>
    <x v="1"/>
    <n v="11.2"/>
    <n v="508"/>
    <n v="0.1"/>
    <n v="5"/>
    <n v="1"/>
    <n v="0"/>
    <x v="128"/>
    <d v="2022-05-02T00:00:00"/>
  </r>
  <r>
    <x v="628"/>
    <x v="7"/>
    <n v="33"/>
    <x v="3"/>
    <x v="1"/>
    <n v="13.8"/>
    <n v="480"/>
    <n v="0.2"/>
    <n v="5"/>
    <n v="0"/>
    <n v="0"/>
    <x v="492"/>
    <d v="2023-11-08T00:00:00"/>
  </r>
  <r>
    <x v="629"/>
    <x v="0"/>
    <n v="18"/>
    <x v="1"/>
    <x v="1"/>
    <n v="4"/>
    <n v="503"/>
    <n v="0.2"/>
    <n v="5"/>
    <n v="0"/>
    <n v="0"/>
    <x v="522"/>
    <d v="2022-03-17T00:00:00"/>
  </r>
  <r>
    <x v="120"/>
    <x v="7"/>
    <n v="40"/>
    <x v="1"/>
    <x v="1"/>
    <n v="8.5"/>
    <n v="501"/>
    <n v="0.1"/>
    <n v="5"/>
    <n v="1"/>
    <n v="0"/>
    <x v="137"/>
    <d v="2024-08-01T00:00:00"/>
  </r>
  <r>
    <x v="630"/>
    <x v="6"/>
    <n v="26"/>
    <x v="2"/>
    <x v="1"/>
    <n v="15.5"/>
    <n v="504"/>
    <n v="0.1"/>
    <n v="5"/>
    <n v="1"/>
    <n v="0"/>
    <x v="523"/>
    <d v="2024-06-14T00:00:00"/>
  </r>
  <r>
    <x v="631"/>
    <x v="3"/>
    <n v="47"/>
    <x v="1"/>
    <x v="1"/>
    <n v="23.4"/>
    <n v="545"/>
    <n v="0.2"/>
    <n v="5"/>
    <n v="1"/>
    <n v="0"/>
    <x v="524"/>
    <d v="2023-03-14T00:00:00"/>
  </r>
  <r>
    <x v="632"/>
    <x v="2"/>
    <n v="61"/>
    <x v="2"/>
    <x v="1"/>
    <n v="18.600000000000001"/>
    <n v="558"/>
    <n v="0.15"/>
    <n v="5"/>
    <n v="0"/>
    <n v="0"/>
    <x v="525"/>
    <d v="2023-12-25T00:00:00"/>
  </r>
  <r>
    <x v="633"/>
    <x v="5"/>
    <n v="59"/>
    <x v="3"/>
    <x v="1"/>
    <n v="2.8"/>
    <n v="455"/>
    <n v="0.1"/>
    <n v="5"/>
    <n v="0"/>
    <n v="0"/>
    <x v="526"/>
    <d v="2024-05-16T00:00:00"/>
  </r>
  <r>
    <x v="634"/>
    <x v="6"/>
    <n v="54"/>
    <x v="3"/>
    <x v="1"/>
    <n v="11.5"/>
    <n v="511"/>
    <n v="0.2"/>
    <n v="5"/>
    <n v="1"/>
    <n v="0"/>
    <x v="527"/>
    <d v="2023-05-02T00:00:00"/>
  </r>
  <r>
    <x v="635"/>
    <x v="1"/>
    <n v="13"/>
    <x v="1"/>
    <x v="1"/>
    <n v="6.8"/>
    <n v="531"/>
    <n v="0.15"/>
    <n v="5"/>
    <n v="0"/>
    <n v="0"/>
    <x v="379"/>
    <d v="2022-11-07T00:00:00"/>
  </r>
  <r>
    <x v="636"/>
    <x v="4"/>
    <n v="48"/>
    <x v="1"/>
    <x v="1"/>
    <n v="1"/>
    <n v="562"/>
    <n v="0.3"/>
    <n v="5"/>
    <n v="0"/>
    <n v="0"/>
    <x v="528"/>
    <d v="2022-02-06T00:00:00"/>
  </r>
  <r>
    <x v="637"/>
    <x v="7"/>
    <n v="38"/>
    <x v="1"/>
    <x v="1"/>
    <n v="11.8"/>
    <n v="484"/>
    <n v="0.1"/>
    <n v="5"/>
    <n v="0"/>
    <n v="0"/>
    <x v="529"/>
    <d v="2022-08-30T00:00:00"/>
  </r>
  <r>
    <x v="638"/>
    <x v="1"/>
    <n v="64"/>
    <x v="1"/>
    <x v="2"/>
    <n v="6.3"/>
    <n v="504"/>
    <n v="0.2"/>
    <n v="5"/>
    <n v="1"/>
    <n v="5"/>
    <x v="530"/>
    <d v="2022-12-22T00:00:00"/>
  </r>
  <r>
    <x v="639"/>
    <x v="4"/>
    <n v="48"/>
    <x v="1"/>
    <x v="2"/>
    <n v="15.8"/>
    <n v="493"/>
    <n v="0.2"/>
    <n v="5"/>
    <n v="1"/>
    <n v="5"/>
    <x v="531"/>
    <d v="2023-12-10T00:00:00"/>
  </r>
  <r>
    <x v="640"/>
    <x v="1"/>
    <n v="49"/>
    <x v="3"/>
    <x v="2"/>
    <n v="12.5"/>
    <n v="532"/>
    <n v="0.1"/>
    <n v="5"/>
    <n v="0"/>
    <m/>
    <x v="492"/>
    <d v="2023-11-08T00:00:00"/>
  </r>
  <r>
    <x v="641"/>
    <x v="0"/>
    <n v="21"/>
    <x v="3"/>
    <x v="2"/>
    <n v="9.1"/>
    <n v="524"/>
    <n v="0.1"/>
    <n v="5"/>
    <n v="0"/>
    <n v="9.99"/>
    <x v="532"/>
    <d v="2022-03-07T00:00:00"/>
  </r>
  <r>
    <x v="642"/>
    <x v="6"/>
    <n v="25"/>
    <x v="2"/>
    <x v="2"/>
    <n v="9"/>
    <n v="442"/>
    <n v="0.2"/>
    <n v="5"/>
    <n v="0"/>
    <n v="9.99"/>
    <x v="533"/>
    <d v="2022-06-29T00:00:00"/>
  </r>
  <r>
    <x v="643"/>
    <x v="7"/>
    <n v="25"/>
    <x v="1"/>
    <x v="2"/>
    <n v="10.199999999999999"/>
    <n v="542"/>
    <n v="0.1"/>
    <n v="5"/>
    <n v="0"/>
    <m/>
    <x v="534"/>
    <d v="2022-12-11T00:00:00"/>
  </r>
  <r>
    <x v="644"/>
    <x v="4"/>
    <n v="63"/>
    <x v="3"/>
    <x v="2"/>
    <n v="19"/>
    <n v="495"/>
    <n v="0.05"/>
    <n v="5"/>
    <n v="1"/>
    <n v="7.99"/>
    <x v="200"/>
    <d v="2023-07-15T00:00:00"/>
  </r>
  <r>
    <x v="645"/>
    <x v="3"/>
    <n v="16"/>
    <x v="1"/>
    <x v="2"/>
    <n v="7.3"/>
    <n v="500"/>
    <n v="0.05"/>
    <n v="5"/>
    <n v="0"/>
    <n v="9.99"/>
    <x v="535"/>
    <d v="2022-10-08T00:00:00"/>
  </r>
  <r>
    <x v="646"/>
    <x v="1"/>
    <n v="33"/>
    <x v="2"/>
    <x v="2"/>
    <n v="11.4"/>
    <n v="490"/>
    <n v="0.1"/>
    <n v="5"/>
    <n v="0"/>
    <n v="7.99"/>
    <x v="536"/>
    <d v="2023-04-11T00:00:00"/>
  </r>
  <r>
    <x v="120"/>
    <x v="8"/>
    <n v="61"/>
    <x v="3"/>
    <x v="2"/>
    <n v="13.4"/>
    <n v="512"/>
    <n v="0.25"/>
    <n v="5"/>
    <n v="0"/>
    <m/>
    <x v="537"/>
    <d v="2022-01-15T00:00:00"/>
  </r>
  <r>
    <x v="647"/>
    <x v="1"/>
    <n v="29"/>
    <x v="3"/>
    <x v="2"/>
    <n v="14.2"/>
    <n v="508"/>
    <n v="0.1"/>
    <n v="5"/>
    <n v="0"/>
    <n v="12.99"/>
    <x v="258"/>
    <d v="2022-07-12T00:00:00"/>
  </r>
  <r>
    <x v="648"/>
    <x v="2"/>
    <n v="62"/>
    <x v="3"/>
    <x v="2"/>
    <n v="12.8"/>
    <n v="459"/>
    <n v="0.3"/>
    <n v="5"/>
    <n v="0"/>
    <n v="9.99"/>
    <x v="538"/>
    <d v="2022-09-25T00:00:00"/>
  </r>
  <r>
    <x v="649"/>
    <x v="6"/>
    <n v="21"/>
    <x v="1"/>
    <x v="2"/>
    <n v="11.9"/>
    <n v="487"/>
    <n v="0.1"/>
    <n v="5"/>
    <n v="1"/>
    <n v="9.99"/>
    <x v="230"/>
    <d v="2023-12-01T00:00:00"/>
  </r>
  <r>
    <x v="650"/>
    <x v="6"/>
    <n v="52"/>
    <x v="3"/>
    <x v="2"/>
    <n v="5.9"/>
    <n v="460"/>
    <n v="0.05"/>
    <n v="5"/>
    <n v="0"/>
    <n v="7.99"/>
    <x v="539"/>
    <d v="2024-02-04T00:00:00"/>
  </r>
  <r>
    <x v="651"/>
    <x v="1"/>
    <n v="31"/>
    <x v="3"/>
    <x v="2"/>
    <n v="5.0999999999999996"/>
    <n v="495"/>
    <n v="0.1"/>
    <n v="5"/>
    <n v="0"/>
    <n v="5"/>
    <x v="540"/>
    <d v="2022-12-09T00:00:00"/>
  </r>
  <r>
    <x v="652"/>
    <x v="6"/>
    <n v="60"/>
    <x v="1"/>
    <x v="2"/>
    <n v="10.5"/>
    <n v="487"/>
    <n v="0.15"/>
    <n v="5"/>
    <n v="0"/>
    <n v="7.99"/>
    <x v="541"/>
    <d v="2022-03-22T00:00:00"/>
  </r>
  <r>
    <x v="653"/>
    <x v="7"/>
    <n v="43"/>
    <x v="1"/>
    <x v="2"/>
    <n v="1.5"/>
    <n v="520"/>
    <n v="0.25"/>
    <n v="5"/>
    <n v="0"/>
    <n v="12.99"/>
    <x v="127"/>
    <d v="2023-06-20T00:00:00"/>
  </r>
  <r>
    <x v="654"/>
    <x v="6"/>
    <n v="22"/>
    <x v="1"/>
    <x v="2"/>
    <n v="2"/>
    <n v="497"/>
    <n v="0.25"/>
    <n v="5"/>
    <n v="0"/>
    <n v="9.99"/>
    <x v="370"/>
    <d v="2023-12-07T00:00:00"/>
  </r>
  <r>
    <x v="655"/>
    <x v="1"/>
    <n v="32"/>
    <x v="1"/>
    <x v="2"/>
    <n v="12.5"/>
    <n v="492"/>
    <n v="0.2"/>
    <n v="5"/>
    <n v="1"/>
    <m/>
    <x v="536"/>
    <d v="2023-04-11T00:00:00"/>
  </r>
  <r>
    <x v="656"/>
    <x v="1"/>
    <n v="42"/>
    <x v="0"/>
    <x v="2"/>
    <n v="11.1"/>
    <n v="503"/>
    <n v="0.3"/>
    <n v="5"/>
    <n v="0"/>
    <n v="7.99"/>
    <x v="542"/>
    <d v="2022-04-03T00:00:00"/>
  </r>
  <r>
    <x v="657"/>
    <x v="3"/>
    <n v="52"/>
    <x v="1"/>
    <x v="2"/>
    <n v="9.5"/>
    <n v="513"/>
    <n v="0.05"/>
    <n v="5"/>
    <n v="0"/>
    <n v="9.99"/>
    <x v="22"/>
    <d v="2023-09-04T00:00:00"/>
  </r>
  <r>
    <x v="658"/>
    <x v="7"/>
    <n v="35"/>
    <x v="1"/>
    <x v="2"/>
    <n v="3.4"/>
    <n v="499"/>
    <n v="0.1"/>
    <n v="5"/>
    <n v="0"/>
    <m/>
    <x v="543"/>
    <d v="2023-04-03T00:00:00"/>
  </r>
  <r>
    <x v="659"/>
    <x v="3"/>
    <n v="17"/>
    <x v="1"/>
    <x v="2"/>
    <n v="13.7"/>
    <n v="499"/>
    <n v="0.3"/>
    <n v="5"/>
    <n v="1"/>
    <n v="12.99"/>
    <x v="432"/>
    <d v="2023-08-29T00:00:00"/>
  </r>
  <r>
    <x v="660"/>
    <x v="5"/>
    <n v="32"/>
    <x v="3"/>
    <x v="2"/>
    <n v="13.1"/>
    <n v="561"/>
    <n v="0.3"/>
    <n v="5"/>
    <n v="0"/>
    <n v="9.99"/>
    <x v="138"/>
    <d v="2023-02-23T00:00:00"/>
  </r>
  <r>
    <x v="661"/>
    <x v="6"/>
    <n v="34"/>
    <x v="1"/>
    <x v="2"/>
    <n v="9.1"/>
    <n v="484"/>
    <n v="0.1"/>
    <n v="5"/>
    <n v="1"/>
    <n v="5"/>
    <x v="434"/>
    <d v="2024-06-21T00:00:00"/>
  </r>
  <r>
    <x v="662"/>
    <x v="1"/>
    <n v="56"/>
    <x v="0"/>
    <x v="2"/>
    <n v="11.1"/>
    <n v="556"/>
    <n v="0.2"/>
    <n v="5"/>
    <n v="0"/>
    <n v="7.99"/>
    <x v="544"/>
    <d v="2022-11-04T00:00:00"/>
  </r>
  <r>
    <x v="663"/>
    <x v="6"/>
    <n v="60"/>
    <x v="1"/>
    <x v="2"/>
    <n v="13.6"/>
    <n v="513"/>
    <n v="0.15"/>
    <n v="5"/>
    <n v="0"/>
    <n v="9.99"/>
    <x v="545"/>
    <d v="2023-06-21T00:00:00"/>
  </r>
  <r>
    <x v="664"/>
    <x v="1"/>
    <n v="53"/>
    <x v="2"/>
    <x v="3"/>
    <n v="6.8"/>
    <n v="469"/>
    <n v="0.15"/>
    <n v="5"/>
    <n v="0"/>
    <n v="5"/>
    <x v="546"/>
    <d v="2022-02-25T00:00:00"/>
  </r>
  <r>
    <x v="665"/>
    <x v="6"/>
    <n v="35"/>
    <x v="2"/>
    <x v="3"/>
    <n v="11.3"/>
    <n v="481"/>
    <n v="0.3"/>
    <n v="5"/>
    <n v="0"/>
    <n v="9.99"/>
    <x v="547"/>
    <d v="2023-08-25T00:00:00"/>
  </r>
  <r>
    <x v="666"/>
    <x v="6"/>
    <n v="45"/>
    <x v="2"/>
    <x v="3"/>
    <n v="11.4"/>
    <n v="475"/>
    <n v="0.15"/>
    <n v="5"/>
    <n v="0"/>
    <n v="12.99"/>
    <x v="548"/>
    <d v="2023-09-25T00:00:00"/>
  </r>
  <r>
    <x v="667"/>
    <x v="6"/>
    <n v="45"/>
    <x v="3"/>
    <x v="3"/>
    <n v="13.3"/>
    <n v="472"/>
    <n v="0.2"/>
    <n v="5"/>
    <n v="1"/>
    <n v="9.99"/>
    <x v="549"/>
    <d v="2024-06-14T00:00:00"/>
  </r>
  <r>
    <x v="668"/>
    <x v="2"/>
    <n v="18"/>
    <x v="1"/>
    <x v="3"/>
    <n v="7.8"/>
    <n v="477"/>
    <n v="0.1"/>
    <n v="5"/>
    <n v="1"/>
    <n v="7.99"/>
    <x v="550"/>
    <d v="2023-01-03T00:00:00"/>
  </r>
  <r>
    <x v="669"/>
    <x v="6"/>
    <n v="25"/>
    <x v="3"/>
    <x v="3"/>
    <n v="4"/>
    <n v="484"/>
    <n v="0.1"/>
    <n v="5"/>
    <n v="0"/>
    <n v="5"/>
    <x v="551"/>
    <d v="2022-05-24T00:00:00"/>
  </r>
  <r>
    <x v="670"/>
    <x v="4"/>
    <n v="64"/>
    <x v="3"/>
    <x v="3"/>
    <n v="7.6"/>
    <n v="440"/>
    <n v="0.1"/>
    <n v="5"/>
    <n v="0"/>
    <n v="7.99"/>
    <x v="552"/>
    <d v="2022-09-05T00:00:00"/>
  </r>
  <r>
    <x v="671"/>
    <x v="3"/>
    <n v="25"/>
    <x v="3"/>
    <x v="3"/>
    <n v="12.7"/>
    <n v="467"/>
    <n v="0.2"/>
    <n v="5"/>
    <n v="0"/>
    <n v="7.99"/>
    <x v="553"/>
    <d v="2023-12-28T00:00:00"/>
  </r>
  <r>
    <x v="672"/>
    <x v="8"/>
    <n v="49"/>
    <x v="1"/>
    <x v="3"/>
    <n v="10.4"/>
    <n v="457"/>
    <n v="0.2"/>
    <n v="5"/>
    <n v="0"/>
    <n v="9.99"/>
    <x v="544"/>
    <d v="2022-11-04T00:00:00"/>
  </r>
  <r>
    <x v="673"/>
    <x v="3"/>
    <n v="29"/>
    <x v="3"/>
    <x v="3"/>
    <n v="15.8"/>
    <n v="481"/>
    <n v="0.2"/>
    <n v="5"/>
    <n v="0"/>
    <n v="5"/>
    <x v="554"/>
    <d v="2024-08-17T00:00:00"/>
  </r>
  <r>
    <x v="674"/>
    <x v="1"/>
    <n v="32"/>
    <x v="3"/>
    <x v="3"/>
    <n v="6"/>
    <n v="513"/>
    <n v="0.25"/>
    <n v="5"/>
    <n v="0"/>
    <n v="5"/>
    <x v="23"/>
    <d v="2024-08-27T00:00:00"/>
  </r>
  <r>
    <x v="675"/>
    <x v="6"/>
    <n v="64"/>
    <x v="1"/>
    <x v="3"/>
    <n v="11"/>
    <n v="505"/>
    <n v="0.15"/>
    <n v="5"/>
    <n v="0"/>
    <n v="9.99"/>
    <x v="555"/>
    <d v="2022-01-18T00:00:00"/>
  </r>
  <r>
    <x v="676"/>
    <x v="3"/>
    <n v="17"/>
    <x v="2"/>
    <x v="3"/>
    <n v="17.399999999999999"/>
    <n v="475"/>
    <n v="0.25"/>
    <n v="5"/>
    <n v="0"/>
    <n v="7.99"/>
    <x v="556"/>
    <d v="2022-03-24T00:00:00"/>
  </r>
  <r>
    <x v="677"/>
    <x v="6"/>
    <n v="18"/>
    <x v="3"/>
    <x v="3"/>
    <n v="14.2"/>
    <n v="504"/>
    <n v="0.2"/>
    <n v="5"/>
    <n v="0"/>
    <n v="9.99"/>
    <x v="557"/>
    <d v="2022-04-11T00:00:00"/>
  </r>
  <r>
    <x v="678"/>
    <x v="7"/>
    <n v="31"/>
    <x v="2"/>
    <x v="3"/>
    <n v="16.2"/>
    <n v="508"/>
    <n v="0.05"/>
    <n v="5"/>
    <n v="0"/>
    <n v="5"/>
    <x v="558"/>
    <d v="2022-09-23T00:00:00"/>
  </r>
  <r>
    <x v="679"/>
    <x v="0"/>
    <n v="42"/>
    <x v="1"/>
    <x v="3"/>
    <n v="13"/>
    <n v="483"/>
    <n v="0.2"/>
    <n v="5"/>
    <n v="0"/>
    <n v="7.99"/>
    <x v="42"/>
    <d v="2022-09-14T00:00:00"/>
  </r>
  <r>
    <x v="680"/>
    <x v="6"/>
    <n v="37"/>
    <x v="3"/>
    <x v="3"/>
    <n v="6.5"/>
    <n v="494"/>
    <n v="0.1"/>
    <n v="5"/>
    <n v="0"/>
    <m/>
    <x v="559"/>
    <d v="2022-06-14T00:00:00"/>
  </r>
  <r>
    <x v="681"/>
    <x v="1"/>
    <n v="49"/>
    <x v="1"/>
    <x v="3"/>
    <n v="7.2"/>
    <n v="451"/>
    <n v="0.15"/>
    <n v="5"/>
    <n v="0"/>
    <n v="9.99"/>
    <x v="560"/>
    <d v="2023-04-17T00:00:00"/>
  </r>
  <r>
    <x v="682"/>
    <x v="8"/>
    <n v="26"/>
    <x v="0"/>
    <x v="3"/>
    <n v="15.7"/>
    <n v="507"/>
    <n v="0.2"/>
    <n v="5"/>
    <n v="1"/>
    <n v="9.99"/>
    <x v="379"/>
    <d v="2022-11-07T00:00:00"/>
  </r>
  <r>
    <x v="683"/>
    <x v="4"/>
    <n v="23"/>
    <x v="1"/>
    <x v="3"/>
    <n v="12.7"/>
    <n v="539"/>
    <n v="0.15"/>
    <n v="5"/>
    <n v="0"/>
    <n v="9.99"/>
    <x v="17"/>
    <d v="2024-07-07T00:00:00"/>
  </r>
  <r>
    <x v="684"/>
    <x v="1"/>
    <n v="43"/>
    <x v="0"/>
    <x v="3"/>
    <n v="20.100000000000001"/>
    <n v="457"/>
    <n v="0.2"/>
    <n v="5"/>
    <n v="1"/>
    <n v="7.99"/>
    <x v="561"/>
    <d v="2022-03-14T00:00:00"/>
  </r>
  <r>
    <x v="685"/>
    <x v="2"/>
    <n v="40"/>
    <x v="3"/>
    <x v="3"/>
    <n v="9.8000000000000007"/>
    <n v="460"/>
    <n v="0.1"/>
    <n v="5"/>
    <n v="0"/>
    <n v="12.99"/>
    <x v="562"/>
    <d v="2024-03-04T00:00:00"/>
  </r>
  <r>
    <x v="686"/>
    <x v="7"/>
    <n v="60"/>
    <x v="0"/>
    <x v="3"/>
    <n v="14.1"/>
    <n v="507"/>
    <n v="0.2"/>
    <n v="5"/>
    <n v="0"/>
    <n v="7.99"/>
    <x v="563"/>
    <d v="2024-07-16T00:00:00"/>
  </r>
  <r>
    <x v="687"/>
    <x v="6"/>
    <n v="61"/>
    <x v="1"/>
    <x v="3"/>
    <n v="3.1"/>
    <n v="504"/>
    <n v="0.25"/>
    <n v="5"/>
    <n v="0"/>
    <n v="9.99"/>
    <x v="564"/>
    <d v="2024-08-20T00:00:00"/>
  </r>
  <r>
    <x v="688"/>
    <x v="6"/>
    <n v="23"/>
    <x v="1"/>
    <x v="3"/>
    <n v="2.8"/>
    <n v="516"/>
    <n v="0.1"/>
    <n v="5"/>
    <n v="0"/>
    <n v="9.99"/>
    <x v="565"/>
    <d v="2022-03-05T00:00:00"/>
  </r>
  <r>
    <x v="689"/>
    <x v="3"/>
    <n v="46"/>
    <x v="3"/>
    <x v="3"/>
    <n v="11.2"/>
    <n v="509"/>
    <n v="0.2"/>
    <n v="5"/>
    <n v="1"/>
    <n v="9.99"/>
    <x v="566"/>
    <d v="2023-02-15T00:00:00"/>
  </r>
  <r>
    <x v="690"/>
    <x v="4"/>
    <n v="33"/>
    <x v="1"/>
    <x v="3"/>
    <n v="6.5"/>
    <n v="499"/>
    <n v="0.1"/>
    <n v="5"/>
    <n v="0"/>
    <n v="12.99"/>
    <x v="450"/>
    <d v="2023-10-1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98DAB6-27B3-4A7C-B8B0-BDACA23C875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9" firstHeaderRow="0" firstDataRow="1" firstDataCol="1"/>
  <pivotFields count="13">
    <pivotField showAll="0">
      <items count="692">
        <item x="120"/>
        <item x="26"/>
        <item x="662"/>
        <item x="46"/>
        <item x="593"/>
        <item x="437"/>
        <item x="73"/>
        <item x="425"/>
        <item x="203"/>
        <item x="690"/>
        <item x="309"/>
        <item x="672"/>
        <item x="53"/>
        <item x="237"/>
        <item x="136"/>
        <item x="152"/>
        <item x="111"/>
        <item x="149"/>
        <item x="497"/>
        <item x="422"/>
        <item x="383"/>
        <item x="443"/>
        <item x="605"/>
        <item x="608"/>
        <item x="349"/>
        <item x="345"/>
        <item x="129"/>
        <item x="16"/>
        <item x="66"/>
        <item x="326"/>
        <item x="423"/>
        <item x="321"/>
        <item x="214"/>
        <item x="580"/>
        <item x="206"/>
        <item x="567"/>
        <item x="164"/>
        <item x="47"/>
        <item x="143"/>
        <item x="619"/>
        <item x="410"/>
        <item x="79"/>
        <item x="29"/>
        <item x="640"/>
        <item x="151"/>
        <item x="636"/>
        <item x="57"/>
        <item x="302"/>
        <item x="572"/>
        <item x="666"/>
        <item x="674"/>
        <item x="671"/>
        <item x="600"/>
        <item x="125"/>
        <item x="296"/>
        <item x="339"/>
        <item x="363"/>
        <item x="253"/>
        <item x="310"/>
        <item x="181"/>
        <item x="511"/>
        <item x="146"/>
        <item x="307"/>
        <item x="224"/>
        <item x="563"/>
        <item x="519"/>
        <item x="487"/>
        <item x="117"/>
        <item x="348"/>
        <item x="104"/>
        <item x="400"/>
        <item x="313"/>
        <item x="113"/>
        <item x="379"/>
        <item x="31"/>
        <item x="33"/>
        <item x="360"/>
        <item x="86"/>
        <item x="197"/>
        <item x="319"/>
        <item x="661"/>
        <item x="212"/>
        <item x="453"/>
        <item x="153"/>
        <item x="27"/>
        <item x="276"/>
        <item x="556"/>
        <item x="375"/>
        <item x="569"/>
        <item x="157"/>
        <item x="193"/>
        <item x="629"/>
        <item x="685"/>
        <item x="673"/>
        <item x="518"/>
        <item x="653"/>
        <item x="69"/>
        <item x="373"/>
        <item x="234"/>
        <item x="587"/>
        <item x="231"/>
        <item x="199"/>
        <item x="654"/>
        <item x="407"/>
        <item x="208"/>
        <item x="170"/>
        <item x="140"/>
        <item x="225"/>
        <item x="578"/>
        <item x="539"/>
        <item x="571"/>
        <item x="370"/>
        <item x="669"/>
        <item x="165"/>
        <item x="381"/>
        <item x="632"/>
        <item x="121"/>
        <item x="175"/>
        <item x="689"/>
        <item x="342"/>
        <item x="551"/>
        <item x="95"/>
        <item x="457"/>
        <item x="408"/>
        <item x="48"/>
        <item x="458"/>
        <item x="150"/>
        <item x="240"/>
        <item x="91"/>
        <item x="182"/>
        <item x="361"/>
        <item x="110"/>
        <item x="679"/>
        <item x="60"/>
        <item x="260"/>
        <item x="118"/>
        <item x="416"/>
        <item x="601"/>
        <item x="201"/>
        <item x="25"/>
        <item x="135"/>
        <item x="544"/>
        <item x="430"/>
        <item x="644"/>
        <item x="525"/>
        <item x="380"/>
        <item x="128"/>
        <item x="159"/>
        <item x="648"/>
        <item x="371"/>
        <item x="228"/>
        <item x="543"/>
        <item x="312"/>
        <item x="19"/>
        <item x="468"/>
        <item x="450"/>
        <item x="670"/>
        <item x="98"/>
        <item x="392"/>
        <item x="304"/>
        <item x="200"/>
        <item x="460"/>
        <item x="634"/>
        <item x="399"/>
        <item x="248"/>
        <item x="41"/>
        <item x="318"/>
        <item x="268"/>
        <item x="239"/>
        <item x="622"/>
        <item x="473"/>
        <item x="492"/>
        <item x="615"/>
        <item x="413"/>
        <item x="267"/>
        <item x="620"/>
        <item x="325"/>
        <item x="505"/>
        <item x="643"/>
        <item x="521"/>
        <item x="477"/>
        <item x="663"/>
        <item x="607"/>
        <item x="366"/>
        <item x="56"/>
        <item x="330"/>
        <item x="596"/>
        <item x="320"/>
        <item x="484"/>
        <item x="435"/>
        <item x="575"/>
        <item x="163"/>
        <item x="536"/>
        <item x="328"/>
        <item x="168"/>
        <item x="424"/>
        <item x="491"/>
        <item x="249"/>
        <item x="169"/>
        <item x="0"/>
        <item x="550"/>
        <item x="6"/>
        <item x="447"/>
        <item x="300"/>
        <item x="646"/>
        <item x="367"/>
        <item x="455"/>
        <item x="394"/>
        <item x="431"/>
        <item x="179"/>
        <item x="133"/>
        <item x="109"/>
        <item x="102"/>
        <item x="23"/>
        <item x="210"/>
        <item x="449"/>
        <item x="617"/>
        <item x="591"/>
        <item x="131"/>
        <item x="522"/>
        <item x="579"/>
        <item x="490"/>
        <item x="10"/>
        <item x="564"/>
        <item x="385"/>
        <item x="586"/>
        <item x="76"/>
        <item x="606"/>
        <item x="171"/>
        <item x="388"/>
        <item x="686"/>
        <item x="524"/>
        <item x="340"/>
        <item x="306"/>
        <item x="635"/>
        <item x="261"/>
        <item x="90"/>
        <item x="465"/>
        <item x="603"/>
        <item x="195"/>
        <item x="289"/>
        <item x="142"/>
        <item x="476"/>
        <item x="264"/>
        <item x="595"/>
        <item x="205"/>
        <item x="192"/>
        <item x="84"/>
        <item x="315"/>
        <item x="537"/>
        <item x="682"/>
        <item x="577"/>
        <item x="356"/>
        <item x="1"/>
        <item x="528"/>
        <item x="597"/>
        <item x="402"/>
        <item x="290"/>
        <item x="74"/>
        <item x="489"/>
        <item x="134"/>
        <item x="343"/>
        <item x="283"/>
        <item x="501"/>
        <item x="502"/>
        <item x="207"/>
        <item x="259"/>
        <item x="496"/>
        <item x="15"/>
        <item x="554"/>
        <item x="623"/>
        <item x="589"/>
        <item x="456"/>
        <item x="126"/>
        <item x="488"/>
        <item x="523"/>
        <item x="516"/>
        <item x="281"/>
        <item x="269"/>
        <item x="412"/>
        <item x="219"/>
        <item x="621"/>
        <item x="161"/>
        <item x="45"/>
        <item x="222"/>
        <item x="547"/>
        <item x="433"/>
        <item x="347"/>
        <item x="506"/>
        <item x="426"/>
        <item x="599"/>
        <item x="625"/>
        <item x="365"/>
        <item x="279"/>
        <item x="504"/>
        <item x="100"/>
        <item x="354"/>
        <item x="440"/>
        <item x="611"/>
        <item x="64"/>
        <item x="541"/>
        <item x="464"/>
        <item x="292"/>
        <item x="70"/>
        <item x="22"/>
        <item x="386"/>
        <item x="466"/>
        <item x="184"/>
        <item x="232"/>
        <item x="282"/>
        <item x="93"/>
        <item x="172"/>
        <item x="645"/>
        <item x="215"/>
        <item x="176"/>
        <item x="293"/>
        <item x="532"/>
        <item x="55"/>
        <item x="517"/>
        <item x="196"/>
        <item x="103"/>
        <item x="114"/>
        <item x="650"/>
        <item x="191"/>
        <item x="99"/>
        <item x="273"/>
        <item x="684"/>
        <item x="272"/>
        <item x="391"/>
        <item x="96"/>
        <item x="265"/>
        <item x="467"/>
        <item x="534"/>
        <item x="329"/>
        <item x="258"/>
        <item x="209"/>
        <item x="341"/>
        <item x="68"/>
        <item x="503"/>
        <item x="36"/>
        <item x="5"/>
        <item x="688"/>
        <item x="463"/>
        <item x="576"/>
        <item x="445"/>
        <item x="570"/>
        <item x="364"/>
        <item x="308"/>
        <item x="583"/>
        <item x="434"/>
        <item x="369"/>
        <item x="651"/>
        <item x="83"/>
        <item x="389"/>
        <item x="655"/>
        <item x="526"/>
        <item x="297"/>
        <item x="173"/>
        <item x="403"/>
        <item x="637"/>
        <item x="480"/>
        <item x="322"/>
        <item x="75"/>
        <item x="107"/>
        <item x="11"/>
        <item x="287"/>
        <item x="510"/>
        <item x="87"/>
        <item x="562"/>
        <item x="677"/>
        <item x="485"/>
        <item x="137"/>
        <item x="508"/>
        <item x="559"/>
        <item x="421"/>
        <item x="626"/>
        <item x="540"/>
        <item x="642"/>
        <item x="592"/>
        <item x="218"/>
        <item x="284"/>
        <item x="156"/>
        <item x="627"/>
        <item x="520"/>
        <item x="478"/>
        <item x="299"/>
        <item x="132"/>
        <item x="469"/>
        <item x="427"/>
        <item x="155"/>
        <item x="529"/>
        <item x="52"/>
        <item x="350"/>
        <item x="250"/>
        <item x="213"/>
        <item x="40"/>
        <item x="141"/>
        <item x="204"/>
        <item x="187"/>
        <item x="561"/>
        <item x="352"/>
        <item x="555"/>
        <item x="51"/>
        <item x="71"/>
        <item x="390"/>
        <item x="657"/>
        <item x="610"/>
        <item x="89"/>
        <item x="291"/>
        <item x="683"/>
        <item x="419"/>
        <item x="681"/>
        <item x="147"/>
        <item x="618"/>
        <item x="585"/>
        <item x="628"/>
        <item x="452"/>
        <item x="335"/>
        <item x="678"/>
        <item x="405"/>
        <item x="233"/>
        <item x="553"/>
        <item x="495"/>
        <item x="598"/>
        <item x="148"/>
        <item x="499"/>
        <item x="498"/>
        <item x="80"/>
        <item x="357"/>
        <item x="226"/>
        <item x="409"/>
        <item x="21"/>
        <item x="545"/>
        <item x="527"/>
        <item x="32"/>
        <item x="429"/>
        <item x="658"/>
        <item x="336"/>
        <item x="667"/>
        <item x="144"/>
        <item x="647"/>
        <item x="124"/>
        <item x="332"/>
        <item x="530"/>
        <item x="395"/>
        <item x="482"/>
        <item x="256"/>
        <item x="494"/>
        <item x="166"/>
        <item x="77"/>
        <item x="271"/>
        <item x="257"/>
        <item x="167"/>
        <item x="221"/>
        <item x="411"/>
        <item x="58"/>
        <item x="481"/>
        <item x="675"/>
        <item x="183"/>
        <item x="590"/>
        <item x="568"/>
        <item x="396"/>
        <item x="533"/>
        <item x="252"/>
        <item x="355"/>
        <item x="88"/>
        <item x="471"/>
        <item x="486"/>
        <item x="101"/>
        <item x="331"/>
        <item x="38"/>
        <item x="414"/>
        <item x="238"/>
        <item x="609"/>
        <item x="565"/>
        <item x="512"/>
        <item x="493"/>
        <item x="659"/>
        <item x="324"/>
        <item x="420"/>
        <item x="275"/>
        <item x="4"/>
        <item x="474"/>
        <item x="105"/>
        <item x="639"/>
        <item x="368"/>
        <item x="115"/>
        <item x="243"/>
        <item x="223"/>
        <item x="604"/>
        <item x="127"/>
        <item x="676"/>
        <item x="548"/>
        <item x="54"/>
        <item x="34"/>
        <item x="277"/>
        <item x="337"/>
        <item x="314"/>
        <item x="613"/>
        <item x="428"/>
        <item x="162"/>
        <item x="188"/>
        <item x="286"/>
        <item x="483"/>
        <item x="280"/>
        <item x="186"/>
        <item x="145"/>
        <item x="441"/>
        <item x="660"/>
        <item x="387"/>
        <item x="43"/>
        <item x="251"/>
        <item x="668"/>
        <item x="255"/>
        <item x="582"/>
        <item x="35"/>
        <item x="112"/>
        <item x="78"/>
        <item x="538"/>
        <item x="246"/>
        <item x="190"/>
        <item x="44"/>
        <item x="50"/>
        <item x="451"/>
        <item x="211"/>
        <item x="444"/>
        <item x="566"/>
        <item x="288"/>
        <item x="67"/>
        <item x="459"/>
        <item x="92"/>
        <item x="584"/>
        <item x="652"/>
        <item x="266"/>
        <item x="446"/>
        <item x="415"/>
        <item x="406"/>
        <item x="612"/>
        <item x="687"/>
        <item x="241"/>
        <item x="507"/>
        <item x="641"/>
        <item x="14"/>
        <item x="378"/>
        <item x="338"/>
        <item x="359"/>
        <item x="18"/>
        <item x="119"/>
        <item x="549"/>
        <item x="305"/>
        <item x="316"/>
        <item x="346"/>
        <item x="2"/>
        <item x="59"/>
        <item x="531"/>
        <item x="82"/>
        <item x="130"/>
        <item x="229"/>
        <item x="397"/>
        <item x="374"/>
        <item x="295"/>
        <item x="85"/>
        <item x="333"/>
        <item x="8"/>
        <item x="649"/>
        <item x="298"/>
        <item x="574"/>
        <item x="638"/>
        <item x="61"/>
        <item x="664"/>
        <item x="631"/>
        <item x="81"/>
        <item x="30"/>
        <item x="301"/>
        <item x="94"/>
        <item x="227"/>
        <item x="285"/>
        <item x="560"/>
        <item x="479"/>
        <item x="42"/>
        <item x="351"/>
        <item x="278"/>
        <item x="432"/>
        <item x="358"/>
        <item x="178"/>
        <item x="13"/>
        <item x="680"/>
        <item x="244"/>
        <item x="448"/>
        <item x="154"/>
        <item x="382"/>
        <item x="514"/>
        <item x="323"/>
        <item x="24"/>
        <item x="573"/>
        <item x="235"/>
        <item x="558"/>
        <item x="189"/>
        <item x="334"/>
        <item x="439"/>
        <item x="588"/>
        <item x="303"/>
        <item x="509"/>
        <item x="552"/>
        <item x="418"/>
        <item x="614"/>
        <item x="220"/>
        <item x="174"/>
        <item x="263"/>
        <item x="362"/>
        <item x="106"/>
        <item x="535"/>
        <item x="442"/>
        <item x="270"/>
        <item x="37"/>
        <item x="475"/>
        <item x="602"/>
        <item x="158"/>
        <item x="462"/>
        <item x="656"/>
        <item x="513"/>
        <item x="500"/>
        <item x="327"/>
        <item x="97"/>
        <item x="294"/>
        <item x="438"/>
        <item x="624"/>
        <item x="122"/>
        <item x="17"/>
        <item x="12"/>
        <item x="185"/>
        <item x="242"/>
        <item x="616"/>
        <item x="7"/>
        <item x="353"/>
        <item x="230"/>
        <item x="398"/>
        <item x="546"/>
        <item x="372"/>
        <item x="63"/>
        <item x="65"/>
        <item x="344"/>
        <item x="317"/>
        <item x="401"/>
        <item x="384"/>
        <item x="377"/>
        <item x="216"/>
        <item x="254"/>
        <item x="20"/>
        <item x="417"/>
        <item x="311"/>
        <item x="542"/>
        <item x="28"/>
        <item x="217"/>
        <item x="581"/>
        <item x="470"/>
        <item x="594"/>
        <item x="49"/>
        <item x="557"/>
        <item x="62"/>
        <item x="454"/>
        <item x="472"/>
        <item x="138"/>
        <item x="665"/>
        <item x="108"/>
        <item x="633"/>
        <item x="436"/>
        <item x="177"/>
        <item x="194"/>
        <item x="39"/>
        <item x="72"/>
        <item x="202"/>
        <item x="262"/>
        <item x="515"/>
        <item x="274"/>
        <item x="139"/>
        <item x="376"/>
        <item x="198"/>
        <item x="123"/>
        <item x="404"/>
        <item x="461"/>
        <item x="180"/>
        <item x="393"/>
        <item x="247"/>
        <item x="3"/>
        <item x="9"/>
        <item x="630"/>
        <item x="160"/>
        <item x="116"/>
        <item x="245"/>
        <item x="236"/>
        <item t="default"/>
      </items>
    </pivotField>
    <pivotField axis="axisRow" showAll="0">
      <items count="10">
        <item x="8"/>
        <item x="3"/>
        <item x="1"/>
        <item x="4"/>
        <item x="5"/>
        <item x="2"/>
        <item x="0"/>
        <item x="6"/>
        <item x="7"/>
        <item t="default"/>
      </items>
    </pivotField>
    <pivotField showAll="0"/>
    <pivotField showAll="0">
      <items count="5">
        <item x="0"/>
        <item x="1"/>
        <item x="3"/>
        <item x="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  <pivotField dataField="1" showAll="0"/>
    <pivotField showAll="0"/>
    <pivotField showAll="0"/>
    <pivotField showAll="0"/>
    <pivotField dataField="1" showAll="0"/>
    <pivotField showAll="0">
      <items count="568">
        <item x="478"/>
        <item x="119"/>
        <item x="85"/>
        <item x="156"/>
        <item x="550"/>
        <item x="38"/>
        <item x="388"/>
        <item x="463"/>
        <item x="39"/>
        <item x="519"/>
        <item x="406"/>
        <item x="100"/>
        <item x="283"/>
        <item x="251"/>
        <item x="426"/>
        <item x="164"/>
        <item x="322"/>
        <item x="408"/>
        <item x="537"/>
        <item x="555"/>
        <item x="358"/>
        <item x="474"/>
        <item x="266"/>
        <item x="145"/>
        <item x="419"/>
        <item x="349"/>
        <item x="365"/>
        <item x="465"/>
        <item x="418"/>
        <item x="94"/>
        <item x="135"/>
        <item x="304"/>
        <item x="303"/>
        <item x="56"/>
        <item x="415"/>
        <item x="157"/>
        <item x="62"/>
        <item x="323"/>
        <item x="539"/>
        <item x="241"/>
        <item x="528"/>
        <item x="231"/>
        <item x="356"/>
        <item x="24"/>
        <item x="409"/>
        <item x="294"/>
        <item x="425"/>
        <item x="126"/>
        <item x="53"/>
        <item x="487"/>
        <item x="144"/>
        <item x="364"/>
        <item x="387"/>
        <item x="566"/>
        <item x="376"/>
        <item x="354"/>
        <item x="159"/>
        <item x="132"/>
        <item x="499"/>
        <item x="504"/>
        <item x="263"/>
        <item x="138"/>
        <item x="546"/>
        <item x="344"/>
        <item x="394"/>
        <item x="178"/>
        <item x="386"/>
        <item x="402"/>
        <item x="455"/>
        <item x="280"/>
        <item x="235"/>
        <item x="562"/>
        <item x="565"/>
        <item x="271"/>
        <item x="360"/>
        <item x="532"/>
        <item x="398"/>
        <item x="49"/>
        <item x="457"/>
        <item x="37"/>
        <item x="189"/>
        <item x="561"/>
        <item x="524"/>
        <item x="338"/>
        <item x="341"/>
        <item x="227"/>
        <item x="522"/>
        <item x="246"/>
        <item x="41"/>
        <item x="238"/>
        <item x="14"/>
        <item x="172"/>
        <item x="541"/>
        <item x="500"/>
        <item x="423"/>
        <item x="556"/>
        <item x="305"/>
        <item x="270"/>
        <item x="183"/>
        <item x="1"/>
        <item x="307"/>
        <item x="287"/>
        <item x="114"/>
        <item x="493"/>
        <item x="366"/>
        <item x="542"/>
        <item x="543"/>
        <item x="373"/>
        <item x="511"/>
        <item x="297"/>
        <item x="428"/>
        <item x="498"/>
        <item x="73"/>
        <item x="223"/>
        <item x="182"/>
        <item x="557"/>
        <item x="536"/>
        <item x="273"/>
        <item x="69"/>
        <item x="248"/>
        <item x="218"/>
        <item x="560"/>
        <item x="382"/>
        <item x="150"/>
        <item x="197"/>
        <item x="92"/>
        <item x="111"/>
        <item x="11"/>
        <item x="276"/>
        <item x="181"/>
        <item x="285"/>
        <item x="54"/>
        <item x="211"/>
        <item x="151"/>
        <item x="268"/>
        <item x="185"/>
        <item x="128"/>
        <item x="527"/>
        <item x="188"/>
        <item x="179"/>
        <item x="93"/>
        <item x="29"/>
        <item x="254"/>
        <item x="105"/>
        <item x="125"/>
        <item x="467"/>
        <item x="385"/>
        <item x="192"/>
        <item x="116"/>
        <item x="222"/>
        <item x="468"/>
        <item x="202"/>
        <item x="311"/>
        <item x="79"/>
        <item x="281"/>
        <item x="479"/>
        <item x="103"/>
        <item x="392"/>
        <item x="551"/>
        <item x="15"/>
        <item x="253"/>
        <item x="435"/>
        <item x="417"/>
        <item x="34"/>
        <item x="61"/>
        <item x="91"/>
        <item x="446"/>
        <item x="473"/>
        <item x="262"/>
        <item x="108"/>
        <item x="160"/>
        <item x="272"/>
        <item x="70"/>
        <item x="318"/>
        <item x="518"/>
        <item x="316"/>
        <item x="469"/>
        <item x="496"/>
        <item x="88"/>
        <item x="507"/>
        <item x="549"/>
        <item x="545"/>
        <item x="89"/>
        <item x="146"/>
        <item x="449"/>
        <item x="112"/>
        <item x="148"/>
        <item x="124"/>
        <item x="2"/>
        <item x="328"/>
        <item x="310"/>
        <item x="243"/>
        <item x="51"/>
        <item x="155"/>
        <item x="19"/>
        <item x="123"/>
        <item x="255"/>
        <item x="17"/>
        <item x="383"/>
        <item x="195"/>
        <item x="161"/>
        <item x="118"/>
        <item x="45"/>
        <item x="208"/>
        <item x="258"/>
        <item x="342"/>
        <item x="233"/>
        <item x="407"/>
        <item x="200"/>
        <item x="129"/>
        <item x="563"/>
        <item x="445"/>
        <item x="319"/>
        <item x="301"/>
        <item x="336"/>
        <item x="475"/>
        <item x="210"/>
        <item x="433"/>
        <item x="337"/>
        <item x="512"/>
        <item x="173"/>
        <item x="416"/>
        <item x="99"/>
        <item x="234"/>
        <item x="190"/>
        <item x="186"/>
        <item x="452"/>
        <item x="137"/>
        <item x="140"/>
        <item x="31"/>
        <item x="400"/>
        <item x="16"/>
        <item x="267"/>
        <item x="335"/>
        <item x="514"/>
        <item x="411"/>
        <item x="0"/>
        <item x="371"/>
        <item x="320"/>
        <item x="436"/>
        <item x="7"/>
        <item x="252"/>
        <item x="444"/>
        <item x="390"/>
        <item x="236"/>
        <item x="57"/>
        <item x="554"/>
        <item x="170"/>
        <item x="378"/>
        <item x="486"/>
        <item x="368"/>
        <item x="245"/>
        <item x="403"/>
        <item x="432"/>
        <item x="529"/>
        <item x="65"/>
        <item x="217"/>
        <item x="278"/>
        <item x="35"/>
        <item x="282"/>
        <item x="22"/>
        <item x="552"/>
        <item x="429"/>
        <item x="506"/>
        <item x="340"/>
        <item x="3"/>
        <item x="74"/>
        <item x="64"/>
        <item x="13"/>
        <item x="353"/>
        <item x="42"/>
        <item x="505"/>
        <item x="60"/>
        <item x="413"/>
        <item x="214"/>
        <item x="265"/>
        <item x="68"/>
        <item x="558"/>
        <item x="180"/>
        <item x="102"/>
        <item x="152"/>
        <item x="228"/>
        <item x="399"/>
        <item x="339"/>
        <item x="442"/>
        <item x="296"/>
        <item x="52"/>
        <item x="130"/>
        <item x="489"/>
        <item x="139"/>
        <item x="63"/>
        <item x="27"/>
        <item x="535"/>
        <item x="380"/>
        <item x="115"/>
        <item x="48"/>
        <item x="298"/>
        <item x="274"/>
        <item x="86"/>
        <item x="221"/>
        <item x="515"/>
        <item x="292"/>
        <item x="502"/>
        <item x="324"/>
        <item x="131"/>
        <item x="309"/>
        <item x="448"/>
        <item x="544"/>
        <item x="350"/>
        <item x="12"/>
        <item x="184"/>
        <item x="50"/>
        <item x="431"/>
        <item x="379"/>
        <item x="240"/>
        <item x="492"/>
        <item x="219"/>
        <item x="348"/>
        <item x="293"/>
        <item x="215"/>
        <item x="77"/>
        <item x="247"/>
        <item x="421"/>
        <item x="110"/>
        <item x="224"/>
        <item x="361"/>
        <item x="175"/>
        <item x="212"/>
        <item x="107"/>
        <item x="206"/>
        <item x="284"/>
        <item x="96"/>
        <item x="503"/>
        <item x="230"/>
        <item x="264"/>
        <item x="477"/>
        <item x="513"/>
        <item x="370"/>
        <item x="207"/>
        <item x="6"/>
        <item x="165"/>
        <item x="540"/>
        <item x="317"/>
        <item x="289"/>
        <item x="531"/>
        <item x="534"/>
        <item x="177"/>
        <item x="154"/>
        <item x="440"/>
        <item x="510"/>
        <item x="279"/>
        <item x="229"/>
        <item x="397"/>
        <item x="521"/>
        <item x="530"/>
        <item x="363"/>
        <item x="67"/>
        <item x="525"/>
        <item x="327"/>
        <item x="18"/>
        <item x="169"/>
        <item x="333"/>
        <item x="483"/>
        <item x="59"/>
        <item x="484"/>
        <item x="491"/>
        <item x="470"/>
        <item x="220"/>
        <item x="87"/>
        <item x="450"/>
        <item x="302"/>
        <item x="321"/>
        <item x="194"/>
        <item x="488"/>
        <item x="441"/>
        <item x="46"/>
        <item x="375"/>
        <item x="168"/>
        <item x="21"/>
        <item x="559"/>
        <item x="196"/>
        <item x="523"/>
        <item x="393"/>
        <item x="439"/>
        <item x="4"/>
        <item x="362"/>
        <item x="396"/>
        <item x="136"/>
        <item x="300"/>
        <item x="33"/>
        <item x="520"/>
        <item x="315"/>
        <item x="95"/>
        <item x="198"/>
        <item x="171"/>
        <item x="36"/>
        <item x="480"/>
        <item x="516"/>
        <item x="464"/>
        <item x="259"/>
        <item x="82"/>
        <item x="90"/>
        <item x="75"/>
        <item x="495"/>
        <item x="476"/>
        <item x="453"/>
        <item x="147"/>
        <item x="481"/>
        <item x="526"/>
        <item x="395"/>
        <item x="8"/>
        <item x="508"/>
        <item x="199"/>
        <item x="97"/>
        <item x="291"/>
        <item x="32"/>
        <item x="121"/>
        <item x="58"/>
        <item x="98"/>
        <item x="454"/>
        <item x="352"/>
        <item x="290"/>
        <item x="158"/>
        <item x="391"/>
        <item x="275"/>
        <item x="345"/>
        <item x="438"/>
        <item x="113"/>
        <item x="166"/>
        <item x="501"/>
        <item x="209"/>
        <item x="308"/>
        <item x="299"/>
        <item x="43"/>
        <item x="461"/>
        <item x="326"/>
        <item x="286"/>
        <item x="384"/>
        <item x="482"/>
        <item x="330"/>
        <item x="288"/>
        <item x="462"/>
        <item x="205"/>
        <item x="261"/>
        <item x="367"/>
        <item x="134"/>
        <item x="517"/>
        <item x="106"/>
        <item x="497"/>
        <item x="127"/>
        <item x="237"/>
        <item x="466"/>
        <item x="564"/>
        <item x="163"/>
        <item x="260"/>
        <item x="40"/>
        <item x="203"/>
        <item x="312"/>
        <item x="509"/>
        <item x="434"/>
        <item x="443"/>
        <item x="381"/>
        <item x="55"/>
        <item x="174"/>
        <item x="71"/>
        <item x="447"/>
        <item x="81"/>
        <item x="458"/>
        <item x="193"/>
        <item x="225"/>
        <item x="47"/>
        <item x="412"/>
        <item x="414"/>
        <item x="490"/>
        <item x="334"/>
        <item x="347"/>
        <item x="427"/>
        <item x="101"/>
        <item x="257"/>
        <item x="104"/>
        <item x="30"/>
        <item x="244"/>
        <item x="351"/>
        <item x="109"/>
        <item x="239"/>
        <item x="377"/>
        <item x="369"/>
        <item x="459"/>
        <item x="485"/>
        <item x="295"/>
        <item x="213"/>
        <item x="404"/>
        <item x="357"/>
        <item x="142"/>
        <item x="28"/>
        <item x="72"/>
        <item x="331"/>
        <item x="76"/>
        <item x="80"/>
        <item x="167"/>
        <item x="242"/>
        <item x="26"/>
        <item x="325"/>
        <item x="437"/>
        <item x="277"/>
        <item x="314"/>
        <item x="153"/>
        <item x="343"/>
        <item x="346"/>
        <item x="547"/>
        <item x="538"/>
        <item x="548"/>
        <item x="460"/>
        <item x="66"/>
        <item x="494"/>
        <item x="410"/>
        <item x="472"/>
        <item x="374"/>
        <item x="269"/>
        <item x="201"/>
        <item x="226"/>
        <item x="471"/>
        <item x="355"/>
        <item x="149"/>
        <item x="122"/>
        <item x="216"/>
        <item x="187"/>
        <item x="10"/>
        <item x="9"/>
        <item x="23"/>
        <item x="405"/>
        <item x="401"/>
        <item x="133"/>
        <item x="5"/>
        <item x="120"/>
        <item x="332"/>
        <item x="389"/>
        <item x="20"/>
        <item x="83"/>
        <item x="313"/>
        <item x="250"/>
        <item x="553"/>
        <item x="78"/>
        <item x="44"/>
        <item x="204"/>
        <item x="329"/>
        <item x="533"/>
        <item x="456"/>
        <item x="422"/>
        <item x="420"/>
        <item x="162"/>
        <item x="249"/>
        <item x="232"/>
        <item x="141"/>
        <item x="359"/>
        <item x="430"/>
        <item x="84"/>
        <item x="256"/>
        <item x="117"/>
        <item x="143"/>
        <item x="176"/>
        <item x="191"/>
        <item x="424"/>
        <item x="25"/>
        <item x="372"/>
        <item x="306"/>
        <item x="451"/>
        <item t="default"/>
      </items>
    </pivotField>
    <pivotField numFmtId="14" showAll="0"/>
  </pivotFields>
  <rowFields count="2">
    <field x="1"/>
    <field x="4"/>
  </rowFields>
  <rowItems count="4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vg_listening_hours_per_week" fld="5" baseField="0" baseItem="0"/>
    <dataField name="Sum of total_songs_played" fld="6" baseField="0" baseItem="0"/>
    <dataField name="Sum of monthly_fe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user_id" tableColumnId="1"/>
      <queryTableField id="2" name="country" tableColumnId="2"/>
      <queryTableField id="3" name="age" tableColumnId="3"/>
      <queryTableField id="4" name="gender" tableColumnId="4"/>
      <queryTableField id="5" name="subscription_type" tableColumnId="5"/>
      <queryTableField id="6" name="avg_listening_hours_per_week" tableColumnId="6"/>
      <queryTableField id="7" name="total_songs_played" tableColumnId="7"/>
      <queryTableField id="8" name="skip_rate" tableColumnId="8"/>
      <queryTableField id="9" name="satisfaction_score" tableColumnId="9"/>
      <queryTableField id="10" name="churned" tableColumnId="10"/>
      <queryTableField id="11" name="monthly_fee" tableColumnId="11"/>
      <queryTableField id="12" name="join_date" tableColumnId="12"/>
      <queryTableField id="13" name="join_date_UK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6F1642-DDC3-4694-BED7-0622590F6704}" name="Raw_Data" displayName="Raw_Data" ref="A1:N702" tableType="queryTable" totalsRowCount="1">
  <autoFilter ref="A1:N701" xr:uid="{CA6F1642-DDC3-4694-BED7-0622590F6704}"/>
  <tableColumns count="14">
    <tableColumn id="1" xr3:uid="{16CDACE9-B6A3-410A-90FD-102531EB961A}" uniqueName="1" name="user_id" queryTableFieldId="1" dataDxfId="10"/>
    <tableColumn id="2" xr3:uid="{4A4027BD-C43A-4734-917D-80616E3F954A}" uniqueName="2" name="country" queryTableFieldId="2" dataDxfId="9"/>
    <tableColumn id="3" xr3:uid="{6CB4C99E-BF30-4264-AE28-6544789FB1AC}" uniqueName="3" name="age" queryTableFieldId="3"/>
    <tableColumn id="4" xr3:uid="{C46483A6-11F4-4F93-82E6-F11EDBE1FE67}" uniqueName="4" name="gender" queryTableFieldId="4" dataDxfId="8"/>
    <tableColumn id="5" xr3:uid="{41D1EF2D-B947-4FA0-AD9E-03BE9B68868A}" uniqueName="5" name="subscription_type" queryTableFieldId="5" dataDxfId="7"/>
    <tableColumn id="6" xr3:uid="{BF413916-30BC-41B1-A7CD-4F69959C26FF}" uniqueName="6" name="avg_listening_hours_per_week" queryTableFieldId="6"/>
    <tableColumn id="7" xr3:uid="{EC130948-A8B1-42BE-AEE9-EA91A7119CB8}" uniqueName="7" name="total_songs_played" queryTableFieldId="7"/>
    <tableColumn id="8" xr3:uid="{FFBE8797-E0C9-4561-BF95-B08D1DA74B98}" uniqueName="8" name="skip_rate" queryTableFieldId="8"/>
    <tableColumn id="9" xr3:uid="{03B0D2A8-FFA2-43FF-B1D9-C15756B2A02A}" uniqueName="9" name="satisfaction_score" queryTableFieldId="9"/>
    <tableColumn id="10" xr3:uid="{721C2452-EA83-4BC8-B11F-90A14F337E9B}" uniqueName="10" name="churned" queryTableFieldId="10"/>
    <tableColumn id="11" xr3:uid="{553C15BE-E2EB-4C21-B2EB-32D99B3188FC}" uniqueName="11" name="monthly_fee" queryTableFieldId="11"/>
    <tableColumn id="12" xr3:uid="{7F8B2158-C3D8-4FA6-B02F-E118884D5463}" uniqueName="12" name="join_date" queryTableFieldId="12" dataDxfId="6"/>
    <tableColumn id="13" xr3:uid="{D592D0B3-7DB4-4356-9958-9546713AA596}" uniqueName="13" name="join_date_UK" queryTableFieldId="13" dataDxfId="5" totalsRowDxfId="4"/>
    <tableColumn id="14" xr3:uid="{78FF75B3-75B2-4614-AF88-C7300B2B21E6}" uniqueName="14" name="Year of Join" queryTableFieldId="14" dataDxfId="3">
      <calculatedColumnFormula>YEAR(Raw_Data[[#This Row],[join_date_UK]])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01740-7B72-45EC-BD18-2B5C9E26604F}">
  <dimension ref="A1:S735"/>
  <sheetViews>
    <sheetView tabSelected="1" workbookViewId="0">
      <selection activeCell="O11" sqref="O11"/>
    </sheetView>
  </sheetViews>
  <sheetFormatPr defaultRowHeight="14.4" x14ac:dyDescent="0.3"/>
  <cols>
    <col min="1" max="1" width="9.33203125" bestFit="1" customWidth="1"/>
    <col min="2" max="2" width="13.44140625" bestFit="1" customWidth="1"/>
    <col min="3" max="3" width="6.21875" bestFit="1" customWidth="1"/>
    <col min="5" max="5" width="18.33203125" bestFit="1" customWidth="1"/>
    <col min="6" max="6" width="28.33203125" bestFit="1" customWidth="1"/>
    <col min="7" max="7" width="19.109375" bestFit="1" customWidth="1"/>
    <col min="8" max="8" width="10.88671875" bestFit="1" customWidth="1"/>
    <col min="9" max="9" width="18.5546875" bestFit="1" customWidth="1"/>
    <col min="10" max="10" width="14.5546875" bestFit="1" customWidth="1"/>
    <col min="11" max="11" width="13.33203125" bestFit="1" customWidth="1"/>
    <col min="12" max="12" width="10.88671875" hidden="1" customWidth="1"/>
    <col min="13" max="13" width="14" bestFit="1" customWidth="1"/>
    <col min="15" max="15" width="31.5546875" bestFit="1" customWidth="1"/>
    <col min="16" max="16" width="10.33203125" bestFit="1" customWidth="1"/>
    <col min="18" max="18" width="37.5546875" customWidth="1"/>
    <col min="21" max="21" width="13.88671875" bestFit="1" customWidth="1"/>
    <col min="22" max="22" width="12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1356</v>
      </c>
    </row>
    <row r="2" spans="1:14" x14ac:dyDescent="0.3">
      <c r="A2" t="s">
        <v>13</v>
      </c>
      <c r="B2" t="s">
        <v>14</v>
      </c>
      <c r="C2">
        <v>41</v>
      </c>
      <c r="D2" t="s">
        <v>15</v>
      </c>
      <c r="E2" t="s">
        <v>16</v>
      </c>
      <c r="F2">
        <v>3</v>
      </c>
      <c r="G2">
        <v>529</v>
      </c>
      <c r="H2">
        <v>0.2</v>
      </c>
      <c r="J2">
        <v>0</v>
      </c>
      <c r="K2">
        <v>7.99</v>
      </c>
      <c r="L2" t="s">
        <v>17</v>
      </c>
      <c r="M2" s="1">
        <v>45146</v>
      </c>
      <c r="N2">
        <f>YEAR(Raw_Data[[#This Row],[join_date_UK]])</f>
        <v>2023</v>
      </c>
    </row>
    <row r="3" spans="1:14" x14ac:dyDescent="0.3">
      <c r="A3" t="s">
        <v>18</v>
      </c>
      <c r="B3" t="s">
        <v>19</v>
      </c>
      <c r="C3">
        <v>15</v>
      </c>
      <c r="D3" t="s">
        <v>15</v>
      </c>
      <c r="E3" t="s">
        <v>16</v>
      </c>
      <c r="F3">
        <v>0.3</v>
      </c>
      <c r="G3">
        <v>503</v>
      </c>
      <c r="H3">
        <v>0.3</v>
      </c>
      <c r="J3">
        <v>0</v>
      </c>
      <c r="L3" t="s">
        <v>20</v>
      </c>
      <c r="M3" s="1">
        <v>45381</v>
      </c>
      <c r="N3">
        <f>YEAR(Raw_Data[[#This Row],[join_date_UK]])</f>
        <v>2024</v>
      </c>
    </row>
    <row r="4" spans="1:14" x14ac:dyDescent="0.3">
      <c r="A4" t="s">
        <v>21</v>
      </c>
      <c r="B4" t="s">
        <v>22</v>
      </c>
      <c r="C4">
        <v>49</v>
      </c>
      <c r="D4" t="s">
        <v>23</v>
      </c>
      <c r="E4" t="s">
        <v>16</v>
      </c>
      <c r="F4">
        <v>5.6</v>
      </c>
      <c r="G4">
        <v>497</v>
      </c>
      <c r="H4">
        <v>0.15</v>
      </c>
      <c r="J4">
        <v>1</v>
      </c>
      <c r="K4">
        <v>7.99</v>
      </c>
      <c r="L4" t="s">
        <v>24</v>
      </c>
      <c r="M4" s="1">
        <v>45108</v>
      </c>
      <c r="N4">
        <f>YEAR(Raw_Data[[#This Row],[join_date_UK]])</f>
        <v>2023</v>
      </c>
    </row>
    <row r="5" spans="1:14" x14ac:dyDescent="0.3">
      <c r="A5" t="s">
        <v>25</v>
      </c>
      <c r="B5" t="s">
        <v>26</v>
      </c>
      <c r="C5">
        <v>49</v>
      </c>
      <c r="D5" t="s">
        <v>23</v>
      </c>
      <c r="E5" t="s">
        <v>16</v>
      </c>
      <c r="F5">
        <v>8.8000000000000007</v>
      </c>
      <c r="G5">
        <v>509</v>
      </c>
      <c r="H5">
        <v>0.1</v>
      </c>
      <c r="J5">
        <v>1</v>
      </c>
      <c r="K5">
        <v>9.99</v>
      </c>
      <c r="L5" t="s">
        <v>27</v>
      </c>
      <c r="M5" s="1">
        <v>45543</v>
      </c>
      <c r="N5">
        <f>YEAR(Raw_Data[[#This Row],[join_date_UK]])</f>
        <v>2024</v>
      </c>
    </row>
    <row r="6" spans="1:14" x14ac:dyDescent="0.3">
      <c r="A6" t="s">
        <v>28</v>
      </c>
      <c r="B6" t="s">
        <v>29</v>
      </c>
      <c r="C6">
        <v>25</v>
      </c>
      <c r="D6" t="s">
        <v>30</v>
      </c>
      <c r="E6" t="s">
        <v>16</v>
      </c>
      <c r="F6">
        <v>6.3</v>
      </c>
      <c r="G6">
        <v>498</v>
      </c>
      <c r="H6">
        <v>0.3</v>
      </c>
      <c r="J6">
        <v>1</v>
      </c>
      <c r="K6">
        <v>12.99</v>
      </c>
      <c r="L6" t="s">
        <v>31</v>
      </c>
      <c r="M6" s="1">
        <v>45183</v>
      </c>
      <c r="N6">
        <f>YEAR(Raw_Data[[#This Row],[join_date_UK]])</f>
        <v>2023</v>
      </c>
    </row>
    <row r="7" spans="1:14" x14ac:dyDescent="0.3">
      <c r="A7" t="s">
        <v>32</v>
      </c>
      <c r="B7" t="s">
        <v>33</v>
      </c>
      <c r="C7">
        <v>27</v>
      </c>
      <c r="D7" t="s">
        <v>34</v>
      </c>
      <c r="E7" t="s">
        <v>16</v>
      </c>
      <c r="F7">
        <v>6.2</v>
      </c>
      <c r="G7">
        <v>511</v>
      </c>
      <c r="H7">
        <v>0.2</v>
      </c>
      <c r="J7">
        <v>1</v>
      </c>
      <c r="L7" t="s">
        <v>35</v>
      </c>
      <c r="M7" s="1">
        <v>45379</v>
      </c>
      <c r="N7">
        <f>YEAR(Raw_Data[[#This Row],[join_date_UK]])</f>
        <v>2024</v>
      </c>
    </row>
    <row r="8" spans="1:14" x14ac:dyDescent="0.3">
      <c r="A8" t="s">
        <v>36</v>
      </c>
      <c r="B8" t="s">
        <v>33</v>
      </c>
      <c r="C8">
        <v>62</v>
      </c>
      <c r="D8" t="s">
        <v>15</v>
      </c>
      <c r="E8" t="s">
        <v>16</v>
      </c>
      <c r="F8">
        <v>17.2</v>
      </c>
      <c r="G8">
        <v>508</v>
      </c>
      <c r="H8">
        <v>0.1</v>
      </c>
      <c r="J8">
        <v>1</v>
      </c>
      <c r="K8">
        <v>9.99</v>
      </c>
      <c r="L8" t="s">
        <v>37</v>
      </c>
      <c r="M8" s="1">
        <v>45268</v>
      </c>
      <c r="N8">
        <f>YEAR(Raw_Data[[#This Row],[join_date_UK]])</f>
        <v>2023</v>
      </c>
    </row>
    <row r="9" spans="1:14" x14ac:dyDescent="0.3">
      <c r="A9" t="s">
        <v>38</v>
      </c>
      <c r="B9" t="s">
        <v>39</v>
      </c>
      <c r="C9">
        <v>62</v>
      </c>
      <c r="D9" t="s">
        <v>23</v>
      </c>
      <c r="E9" t="s">
        <v>16</v>
      </c>
      <c r="F9">
        <v>5.6</v>
      </c>
      <c r="G9">
        <v>484</v>
      </c>
      <c r="H9">
        <v>0.2</v>
      </c>
      <c r="J9">
        <v>0</v>
      </c>
      <c r="K9">
        <v>9.99</v>
      </c>
      <c r="L9" t="s">
        <v>40</v>
      </c>
      <c r="M9" s="1">
        <v>44785</v>
      </c>
      <c r="N9">
        <f>YEAR(Raw_Data[[#This Row],[join_date_UK]])</f>
        <v>2022</v>
      </c>
    </row>
    <row r="10" spans="1:14" x14ac:dyDescent="0.3">
      <c r="A10" t="s">
        <v>41</v>
      </c>
      <c r="B10" t="s">
        <v>19</v>
      </c>
      <c r="C10">
        <v>59</v>
      </c>
      <c r="D10" t="s">
        <v>34</v>
      </c>
      <c r="E10" t="s">
        <v>16</v>
      </c>
      <c r="F10">
        <v>13.8</v>
      </c>
      <c r="G10">
        <v>492</v>
      </c>
      <c r="H10">
        <v>0.05</v>
      </c>
      <c r="J10">
        <v>0</v>
      </c>
      <c r="K10">
        <v>5</v>
      </c>
      <c r="L10" t="s">
        <v>42</v>
      </c>
      <c r="M10" s="1">
        <v>45093</v>
      </c>
      <c r="N10">
        <f>YEAR(Raw_Data[[#This Row],[join_date_UK]])</f>
        <v>2023</v>
      </c>
    </row>
    <row r="11" spans="1:14" x14ac:dyDescent="0.3">
      <c r="A11" t="s">
        <v>43</v>
      </c>
      <c r="B11" t="s">
        <v>44</v>
      </c>
      <c r="C11">
        <v>33</v>
      </c>
      <c r="D11" t="s">
        <v>23</v>
      </c>
      <c r="E11" t="s">
        <v>16</v>
      </c>
      <c r="F11">
        <v>14.8</v>
      </c>
      <c r="G11">
        <v>488</v>
      </c>
      <c r="H11">
        <v>0.3</v>
      </c>
      <c r="J11">
        <v>0</v>
      </c>
      <c r="K11">
        <v>9.99</v>
      </c>
      <c r="L11" t="s">
        <v>45</v>
      </c>
      <c r="M11" s="1">
        <v>45500</v>
      </c>
      <c r="N11">
        <f>YEAR(Raw_Data[[#This Row],[join_date_UK]])</f>
        <v>2024</v>
      </c>
    </row>
    <row r="12" spans="1:14" x14ac:dyDescent="0.3">
      <c r="A12" t="s">
        <v>46</v>
      </c>
      <c r="B12" t="s">
        <v>33</v>
      </c>
      <c r="C12">
        <v>39</v>
      </c>
      <c r="D12" t="s">
        <v>34</v>
      </c>
      <c r="E12" t="s">
        <v>16</v>
      </c>
      <c r="F12">
        <v>8.5</v>
      </c>
      <c r="G12">
        <v>486</v>
      </c>
      <c r="H12">
        <v>0.15</v>
      </c>
      <c r="J12">
        <v>1</v>
      </c>
      <c r="L12" t="s">
        <v>47</v>
      </c>
      <c r="M12" s="1">
        <v>44739</v>
      </c>
      <c r="N12">
        <f>YEAR(Raw_Data[[#This Row],[join_date_UK]])</f>
        <v>2022</v>
      </c>
    </row>
    <row r="13" spans="1:14" x14ac:dyDescent="0.3">
      <c r="A13" t="s">
        <v>48</v>
      </c>
      <c r="B13" t="s">
        <v>26</v>
      </c>
      <c r="C13">
        <v>48</v>
      </c>
      <c r="D13" t="s">
        <v>30</v>
      </c>
      <c r="E13" t="s">
        <v>16</v>
      </c>
      <c r="F13">
        <v>9</v>
      </c>
      <c r="G13">
        <v>477</v>
      </c>
      <c r="H13">
        <v>0.1</v>
      </c>
      <c r="J13">
        <v>0</v>
      </c>
      <c r="L13" t="s">
        <v>49</v>
      </c>
      <c r="M13" s="1">
        <v>44674</v>
      </c>
      <c r="N13">
        <f>YEAR(Raw_Data[[#This Row],[join_date_UK]])</f>
        <v>2022</v>
      </c>
    </row>
    <row r="14" spans="1:14" x14ac:dyDescent="0.3">
      <c r="A14" t="s">
        <v>50</v>
      </c>
      <c r="B14" t="s">
        <v>39</v>
      </c>
      <c r="C14">
        <v>13</v>
      </c>
      <c r="D14" t="s">
        <v>34</v>
      </c>
      <c r="E14" t="s">
        <v>16</v>
      </c>
      <c r="F14">
        <v>11.3</v>
      </c>
      <c r="G14">
        <v>493</v>
      </c>
      <c r="H14">
        <v>0.2</v>
      </c>
      <c r="J14">
        <v>0</v>
      </c>
      <c r="K14">
        <v>5</v>
      </c>
      <c r="L14" t="s">
        <v>51</v>
      </c>
      <c r="M14" s="1">
        <v>44870</v>
      </c>
      <c r="N14">
        <f>YEAR(Raw_Data[[#This Row],[join_date_UK]])</f>
        <v>2022</v>
      </c>
    </row>
    <row r="15" spans="1:14" x14ac:dyDescent="0.3">
      <c r="A15" t="s">
        <v>52</v>
      </c>
      <c r="B15" t="s">
        <v>44</v>
      </c>
      <c r="C15">
        <v>36</v>
      </c>
      <c r="D15" t="s">
        <v>34</v>
      </c>
      <c r="E15" t="s">
        <v>53</v>
      </c>
      <c r="F15">
        <v>0.9</v>
      </c>
      <c r="G15">
        <v>509</v>
      </c>
      <c r="H15">
        <v>0.3</v>
      </c>
      <c r="J15">
        <v>0</v>
      </c>
      <c r="K15">
        <v>0</v>
      </c>
      <c r="L15" t="s">
        <v>54</v>
      </c>
      <c r="M15" s="1">
        <v>44814</v>
      </c>
      <c r="N15">
        <f>YEAR(Raw_Data[[#This Row],[join_date_UK]])</f>
        <v>2022</v>
      </c>
    </row>
    <row r="16" spans="1:14" x14ac:dyDescent="0.3">
      <c r="A16" t="s">
        <v>55</v>
      </c>
      <c r="B16" t="s">
        <v>22</v>
      </c>
      <c r="C16">
        <v>63</v>
      </c>
      <c r="D16" t="s">
        <v>30</v>
      </c>
      <c r="E16" t="s">
        <v>53</v>
      </c>
      <c r="F16">
        <v>13.9</v>
      </c>
      <c r="G16">
        <v>467</v>
      </c>
      <c r="H16">
        <v>0.15</v>
      </c>
      <c r="J16">
        <v>0</v>
      </c>
      <c r="K16">
        <v>0</v>
      </c>
      <c r="L16" t="s">
        <v>56</v>
      </c>
      <c r="M16" s="1">
        <v>45371</v>
      </c>
      <c r="N16">
        <f>YEAR(Raw_Data[[#This Row],[join_date_UK]])</f>
        <v>2024</v>
      </c>
    </row>
    <row r="17" spans="1:14" x14ac:dyDescent="0.3">
      <c r="A17" t="s">
        <v>57</v>
      </c>
      <c r="B17" t="s">
        <v>39</v>
      </c>
      <c r="C17">
        <v>22</v>
      </c>
      <c r="D17" t="s">
        <v>23</v>
      </c>
      <c r="E17" t="s">
        <v>53</v>
      </c>
      <c r="F17">
        <v>4.4000000000000004</v>
      </c>
      <c r="G17">
        <v>499</v>
      </c>
      <c r="H17">
        <v>0.2</v>
      </c>
      <c r="J17">
        <v>0</v>
      </c>
      <c r="K17">
        <v>0</v>
      </c>
      <c r="L17" t="s">
        <v>58</v>
      </c>
      <c r="M17" s="1">
        <v>44707</v>
      </c>
      <c r="N17">
        <f>YEAR(Raw_Data[[#This Row],[join_date_UK]])</f>
        <v>2022</v>
      </c>
    </row>
    <row r="18" spans="1:14" x14ac:dyDescent="0.3">
      <c r="A18" t="s">
        <v>59</v>
      </c>
      <c r="B18" t="s">
        <v>39</v>
      </c>
      <c r="C18">
        <v>23</v>
      </c>
      <c r="D18" t="s">
        <v>23</v>
      </c>
      <c r="E18" t="s">
        <v>53</v>
      </c>
      <c r="F18">
        <v>7.5</v>
      </c>
      <c r="G18">
        <v>497</v>
      </c>
      <c r="H18">
        <v>0.25</v>
      </c>
      <c r="J18">
        <v>0</v>
      </c>
      <c r="K18">
        <v>0</v>
      </c>
      <c r="L18" t="s">
        <v>60</v>
      </c>
      <c r="M18" s="1">
        <v>45508</v>
      </c>
      <c r="N18">
        <f>YEAR(Raw_Data[[#This Row],[join_date_UK]])</f>
        <v>2024</v>
      </c>
    </row>
    <row r="19" spans="1:14" x14ac:dyDescent="0.3">
      <c r="A19" t="s">
        <v>61</v>
      </c>
      <c r="B19" t="s">
        <v>19</v>
      </c>
      <c r="C19">
        <v>30</v>
      </c>
      <c r="D19" t="s">
        <v>15</v>
      </c>
      <c r="E19" t="s">
        <v>53</v>
      </c>
      <c r="F19">
        <v>17.899999999999999</v>
      </c>
      <c r="G19">
        <v>496</v>
      </c>
      <c r="H19">
        <v>0.2</v>
      </c>
      <c r="J19">
        <v>0</v>
      </c>
      <c r="K19">
        <v>0</v>
      </c>
      <c r="L19" t="s">
        <v>62</v>
      </c>
      <c r="M19" s="1">
        <v>45480</v>
      </c>
      <c r="N19">
        <f>YEAR(Raw_Data[[#This Row],[join_date_UK]])</f>
        <v>2024</v>
      </c>
    </row>
    <row r="20" spans="1:14" x14ac:dyDescent="0.3">
      <c r="A20" t="s">
        <v>63</v>
      </c>
      <c r="B20" t="s">
        <v>39</v>
      </c>
      <c r="C20">
        <v>53</v>
      </c>
      <c r="D20" t="s">
        <v>30</v>
      </c>
      <c r="E20" t="s">
        <v>53</v>
      </c>
      <c r="F20">
        <v>10.7</v>
      </c>
      <c r="G20">
        <v>510</v>
      </c>
      <c r="H20">
        <v>0.2</v>
      </c>
      <c r="J20">
        <v>0</v>
      </c>
      <c r="K20">
        <v>0</v>
      </c>
      <c r="L20" t="s">
        <v>64</v>
      </c>
      <c r="M20" s="1">
        <v>44925</v>
      </c>
      <c r="N20">
        <f>YEAR(Raw_Data[[#This Row],[join_date_UK]])</f>
        <v>2022</v>
      </c>
    </row>
    <row r="21" spans="1:14" x14ac:dyDescent="0.3">
      <c r="A21" t="s">
        <v>65</v>
      </c>
      <c r="B21" t="s">
        <v>19</v>
      </c>
      <c r="C21">
        <v>39</v>
      </c>
      <c r="D21" t="s">
        <v>23</v>
      </c>
      <c r="E21" t="s">
        <v>66</v>
      </c>
      <c r="F21">
        <v>0.3</v>
      </c>
      <c r="G21">
        <v>510</v>
      </c>
      <c r="H21">
        <v>0.1</v>
      </c>
      <c r="J21">
        <v>1</v>
      </c>
      <c r="K21">
        <v>9.99</v>
      </c>
      <c r="L21" t="s">
        <v>67</v>
      </c>
      <c r="M21" s="1">
        <v>45476</v>
      </c>
      <c r="N21">
        <f>YEAR(Raw_Data[[#This Row],[join_date_UK]])</f>
        <v>2024</v>
      </c>
    </row>
    <row r="22" spans="1:14" x14ac:dyDescent="0.3">
      <c r="A22" t="s">
        <v>68</v>
      </c>
      <c r="B22" t="s">
        <v>19</v>
      </c>
      <c r="C22">
        <v>22</v>
      </c>
      <c r="D22" t="s">
        <v>34</v>
      </c>
      <c r="E22" t="s">
        <v>66</v>
      </c>
      <c r="F22">
        <v>3.6</v>
      </c>
      <c r="G22">
        <v>486</v>
      </c>
      <c r="H22">
        <v>0.1</v>
      </c>
      <c r="J22">
        <v>1</v>
      </c>
      <c r="L22" t="s">
        <v>69</v>
      </c>
      <c r="M22" s="1">
        <v>44770</v>
      </c>
      <c r="N22">
        <f>YEAR(Raw_Data[[#This Row],[join_date_UK]])</f>
        <v>2022</v>
      </c>
    </row>
    <row r="23" spans="1:14" x14ac:dyDescent="0.3">
      <c r="A23" t="s">
        <v>70</v>
      </c>
      <c r="B23" t="s">
        <v>19</v>
      </c>
      <c r="C23">
        <v>26</v>
      </c>
      <c r="D23" t="s">
        <v>23</v>
      </c>
      <c r="E23" t="s">
        <v>66</v>
      </c>
      <c r="F23">
        <v>16.899999999999999</v>
      </c>
      <c r="G23">
        <v>490</v>
      </c>
      <c r="H23">
        <v>0.1</v>
      </c>
      <c r="J23">
        <v>0</v>
      </c>
      <c r="K23">
        <v>9.99</v>
      </c>
      <c r="L23" t="s">
        <v>71</v>
      </c>
      <c r="M23" s="1">
        <v>45426</v>
      </c>
      <c r="N23">
        <f>YEAR(Raw_Data[[#This Row],[join_date_UK]])</f>
        <v>2024</v>
      </c>
    </row>
    <row r="24" spans="1:14" x14ac:dyDescent="0.3">
      <c r="A24" t="s">
        <v>72</v>
      </c>
      <c r="B24" t="s">
        <v>73</v>
      </c>
      <c r="C24">
        <v>18</v>
      </c>
      <c r="D24" t="s">
        <v>23</v>
      </c>
      <c r="E24" t="s">
        <v>66</v>
      </c>
      <c r="F24">
        <v>12.8</v>
      </c>
      <c r="G24">
        <v>476</v>
      </c>
      <c r="H24">
        <v>0.3</v>
      </c>
      <c r="J24">
        <v>1</v>
      </c>
      <c r="K24">
        <v>9.99</v>
      </c>
      <c r="L24" t="s">
        <v>74</v>
      </c>
      <c r="M24" s="1">
        <v>45173</v>
      </c>
      <c r="N24">
        <f>YEAR(Raw_Data[[#This Row],[join_date_UK]])</f>
        <v>2023</v>
      </c>
    </row>
    <row r="25" spans="1:14" x14ac:dyDescent="0.3">
      <c r="A25" t="s">
        <v>75</v>
      </c>
      <c r="B25" t="s">
        <v>39</v>
      </c>
      <c r="C25">
        <v>17</v>
      </c>
      <c r="D25" t="s">
        <v>34</v>
      </c>
      <c r="E25" t="s">
        <v>66</v>
      </c>
      <c r="F25">
        <v>11.7</v>
      </c>
      <c r="G25">
        <v>495</v>
      </c>
      <c r="H25">
        <v>0.1</v>
      </c>
      <c r="J25">
        <v>1</v>
      </c>
      <c r="K25">
        <v>9.99</v>
      </c>
      <c r="L25" t="s">
        <v>76</v>
      </c>
      <c r="M25" s="1">
        <v>45531</v>
      </c>
      <c r="N25">
        <f>YEAR(Raw_Data[[#This Row],[join_date_UK]])</f>
        <v>2024</v>
      </c>
    </row>
    <row r="26" spans="1:14" x14ac:dyDescent="0.3">
      <c r="A26" t="s">
        <v>77</v>
      </c>
      <c r="B26" t="s">
        <v>39</v>
      </c>
      <c r="C26">
        <v>41</v>
      </c>
      <c r="D26" t="s">
        <v>23</v>
      </c>
      <c r="E26" t="s">
        <v>66</v>
      </c>
      <c r="F26">
        <v>8.6999999999999993</v>
      </c>
      <c r="G26">
        <v>483</v>
      </c>
      <c r="H26">
        <v>0.05</v>
      </c>
      <c r="J26">
        <v>0</v>
      </c>
      <c r="K26">
        <v>9.99</v>
      </c>
      <c r="L26" t="s">
        <v>78</v>
      </c>
      <c r="M26" s="1">
        <v>45329</v>
      </c>
      <c r="N26">
        <f>YEAR(Raw_Data[[#This Row],[join_date_UK]])</f>
        <v>2024</v>
      </c>
    </row>
    <row r="27" spans="1:14" x14ac:dyDescent="0.3">
      <c r="A27" t="s">
        <v>79</v>
      </c>
      <c r="B27" t="s">
        <v>39</v>
      </c>
      <c r="C27">
        <v>33</v>
      </c>
      <c r="D27" t="s">
        <v>34</v>
      </c>
      <c r="E27" t="s">
        <v>66</v>
      </c>
      <c r="F27">
        <v>16.100000000000001</v>
      </c>
      <c r="G27">
        <v>505</v>
      </c>
      <c r="H27">
        <v>0.05</v>
      </c>
      <c r="J27">
        <v>1</v>
      </c>
      <c r="K27">
        <v>7.99</v>
      </c>
      <c r="L27" t="s">
        <v>80</v>
      </c>
      <c r="M27" s="1">
        <v>45077</v>
      </c>
      <c r="N27">
        <f>YEAR(Raw_Data[[#This Row],[join_date_UK]])</f>
        <v>2023</v>
      </c>
    </row>
    <row r="28" spans="1:14" x14ac:dyDescent="0.3">
      <c r="A28" t="s">
        <v>81</v>
      </c>
      <c r="B28" t="s">
        <v>29</v>
      </c>
      <c r="C28">
        <v>18</v>
      </c>
      <c r="D28" t="s">
        <v>34</v>
      </c>
      <c r="E28" t="s">
        <v>66</v>
      </c>
      <c r="F28">
        <v>6.3</v>
      </c>
      <c r="G28">
        <v>485</v>
      </c>
      <c r="H28">
        <v>0.05</v>
      </c>
      <c r="J28">
        <v>0</v>
      </c>
      <c r="K28">
        <v>7.99</v>
      </c>
      <c r="L28" t="s">
        <v>82</v>
      </c>
      <c r="M28" s="1">
        <v>44982</v>
      </c>
      <c r="N28">
        <f>YEAR(Raw_Data[[#This Row],[join_date_UK]])</f>
        <v>2023</v>
      </c>
    </row>
    <row r="29" spans="1:14" x14ac:dyDescent="0.3">
      <c r="A29" t="s">
        <v>83</v>
      </c>
      <c r="B29" t="s">
        <v>29</v>
      </c>
      <c r="C29">
        <v>45</v>
      </c>
      <c r="D29" t="s">
        <v>34</v>
      </c>
      <c r="E29" t="s">
        <v>66</v>
      </c>
      <c r="F29">
        <v>6</v>
      </c>
      <c r="G29">
        <v>487</v>
      </c>
      <c r="H29">
        <v>0.3</v>
      </c>
      <c r="J29">
        <v>0</v>
      </c>
      <c r="K29">
        <v>7.99</v>
      </c>
      <c r="L29" t="s">
        <v>84</v>
      </c>
      <c r="M29" s="1">
        <v>45206</v>
      </c>
      <c r="N29">
        <f>YEAR(Raw_Data[[#This Row],[join_date_UK]])</f>
        <v>2023</v>
      </c>
    </row>
    <row r="30" spans="1:14" x14ac:dyDescent="0.3">
      <c r="A30" t="s">
        <v>85</v>
      </c>
      <c r="B30" t="s">
        <v>14</v>
      </c>
      <c r="C30">
        <v>45</v>
      </c>
      <c r="D30" t="s">
        <v>34</v>
      </c>
      <c r="E30" t="s">
        <v>66</v>
      </c>
      <c r="F30">
        <v>11.2</v>
      </c>
      <c r="G30">
        <v>512</v>
      </c>
      <c r="H30">
        <v>0.05</v>
      </c>
      <c r="J30">
        <v>0</v>
      </c>
      <c r="K30">
        <v>5</v>
      </c>
      <c r="L30" t="s">
        <v>86</v>
      </c>
      <c r="M30" s="1">
        <v>45436</v>
      </c>
      <c r="N30">
        <f>YEAR(Raw_Data[[#This Row],[join_date_UK]])</f>
        <v>2024</v>
      </c>
    </row>
    <row r="31" spans="1:14" x14ac:dyDescent="0.3">
      <c r="A31" t="s">
        <v>87</v>
      </c>
      <c r="B31" t="s">
        <v>26</v>
      </c>
      <c r="C31">
        <v>40</v>
      </c>
      <c r="D31" t="s">
        <v>34</v>
      </c>
      <c r="E31" t="s">
        <v>66</v>
      </c>
      <c r="F31">
        <v>8.1</v>
      </c>
      <c r="G31">
        <v>484</v>
      </c>
      <c r="H31">
        <v>0.2</v>
      </c>
      <c r="J31">
        <v>0</v>
      </c>
      <c r="K31">
        <v>7.99</v>
      </c>
      <c r="L31" t="s">
        <v>88</v>
      </c>
      <c r="M31" s="1">
        <v>45052</v>
      </c>
      <c r="N31">
        <f>YEAR(Raw_Data[[#This Row],[join_date_UK]])</f>
        <v>2023</v>
      </c>
    </row>
    <row r="32" spans="1:14" x14ac:dyDescent="0.3">
      <c r="A32" t="s">
        <v>89</v>
      </c>
      <c r="B32" t="s">
        <v>19</v>
      </c>
      <c r="C32">
        <v>38</v>
      </c>
      <c r="D32" t="s">
        <v>23</v>
      </c>
      <c r="E32" t="s">
        <v>66</v>
      </c>
      <c r="F32">
        <v>13.7</v>
      </c>
      <c r="G32">
        <v>525</v>
      </c>
      <c r="H32">
        <v>0.15</v>
      </c>
      <c r="J32">
        <v>0</v>
      </c>
      <c r="K32">
        <v>7.99</v>
      </c>
      <c r="L32" t="s">
        <v>90</v>
      </c>
      <c r="M32" s="1">
        <v>44704</v>
      </c>
      <c r="N32">
        <f>YEAR(Raw_Data[[#This Row],[join_date_UK]])</f>
        <v>2022</v>
      </c>
    </row>
    <row r="33" spans="1:14" x14ac:dyDescent="0.3">
      <c r="A33" t="s">
        <v>91</v>
      </c>
      <c r="B33" t="s">
        <v>22</v>
      </c>
      <c r="C33">
        <v>59</v>
      </c>
      <c r="D33" t="s">
        <v>23</v>
      </c>
      <c r="E33" t="s">
        <v>66</v>
      </c>
      <c r="F33">
        <v>4.0999999999999996</v>
      </c>
      <c r="G33">
        <v>506</v>
      </c>
      <c r="H33">
        <v>0.25</v>
      </c>
      <c r="J33">
        <v>1</v>
      </c>
      <c r="K33">
        <v>9.99</v>
      </c>
      <c r="L33" t="s">
        <v>92</v>
      </c>
      <c r="M33" s="1">
        <v>44776</v>
      </c>
      <c r="N33">
        <f>YEAR(Raw_Data[[#This Row],[join_date_UK]])</f>
        <v>2022</v>
      </c>
    </row>
    <row r="34" spans="1:14" x14ac:dyDescent="0.3">
      <c r="A34" t="s">
        <v>93</v>
      </c>
      <c r="B34" t="s">
        <v>33</v>
      </c>
      <c r="C34">
        <v>50</v>
      </c>
      <c r="D34" t="s">
        <v>23</v>
      </c>
      <c r="E34" t="s">
        <v>94</v>
      </c>
      <c r="F34">
        <v>10.6</v>
      </c>
      <c r="G34">
        <v>490</v>
      </c>
      <c r="H34">
        <v>0.1</v>
      </c>
      <c r="J34">
        <v>1</v>
      </c>
      <c r="K34">
        <v>9.99</v>
      </c>
      <c r="L34" t="s">
        <v>95</v>
      </c>
      <c r="M34" s="1">
        <v>44881</v>
      </c>
      <c r="N34">
        <f>YEAR(Raw_Data[[#This Row],[join_date_UK]])</f>
        <v>2022</v>
      </c>
    </row>
    <row r="35" spans="1:14" x14ac:dyDescent="0.3">
      <c r="A35" t="s">
        <v>96</v>
      </c>
      <c r="B35" t="s">
        <v>19</v>
      </c>
      <c r="C35">
        <v>61</v>
      </c>
      <c r="D35" t="s">
        <v>34</v>
      </c>
      <c r="E35" t="s">
        <v>94</v>
      </c>
      <c r="F35">
        <v>16</v>
      </c>
      <c r="G35">
        <v>498</v>
      </c>
      <c r="H35">
        <v>0.05</v>
      </c>
      <c r="J35">
        <v>0</v>
      </c>
      <c r="L35" t="s">
        <v>97</v>
      </c>
      <c r="M35" s="1">
        <v>44972</v>
      </c>
      <c r="N35">
        <f>YEAR(Raw_Data[[#This Row],[join_date_UK]])</f>
        <v>2023</v>
      </c>
    </row>
    <row r="36" spans="1:14" x14ac:dyDescent="0.3">
      <c r="A36" t="s">
        <v>98</v>
      </c>
      <c r="B36" t="s">
        <v>39</v>
      </c>
      <c r="C36">
        <v>16</v>
      </c>
      <c r="D36" t="s">
        <v>34</v>
      </c>
      <c r="E36" t="s">
        <v>94</v>
      </c>
      <c r="F36">
        <v>11.2</v>
      </c>
      <c r="G36">
        <v>485</v>
      </c>
      <c r="H36">
        <v>0.15</v>
      </c>
      <c r="J36">
        <v>0</v>
      </c>
      <c r="K36">
        <v>12.99</v>
      </c>
      <c r="L36" t="s">
        <v>99</v>
      </c>
      <c r="M36" s="1">
        <v>45442</v>
      </c>
      <c r="N36">
        <f>YEAR(Raw_Data[[#This Row],[join_date_UK]])</f>
        <v>2024</v>
      </c>
    </row>
    <row r="37" spans="1:14" x14ac:dyDescent="0.3">
      <c r="A37" t="s">
        <v>100</v>
      </c>
      <c r="B37" t="s">
        <v>22</v>
      </c>
      <c r="C37">
        <v>59</v>
      </c>
      <c r="D37" t="s">
        <v>23</v>
      </c>
      <c r="E37" t="s">
        <v>94</v>
      </c>
      <c r="F37">
        <v>0.3</v>
      </c>
      <c r="G37">
        <v>506</v>
      </c>
      <c r="H37">
        <v>0.1</v>
      </c>
      <c r="J37">
        <v>0</v>
      </c>
      <c r="K37">
        <v>7.99</v>
      </c>
      <c r="L37" t="s">
        <v>101</v>
      </c>
      <c r="M37" s="1">
        <v>45172</v>
      </c>
      <c r="N37">
        <f>YEAR(Raw_Data[[#This Row],[join_date_UK]])</f>
        <v>2023</v>
      </c>
    </row>
    <row r="38" spans="1:14" x14ac:dyDescent="0.3">
      <c r="A38" t="s">
        <v>102</v>
      </c>
      <c r="B38" t="s">
        <v>33</v>
      </c>
      <c r="C38">
        <v>14</v>
      </c>
      <c r="D38" t="s">
        <v>34</v>
      </c>
      <c r="E38" t="s">
        <v>94</v>
      </c>
      <c r="F38">
        <v>15.8</v>
      </c>
      <c r="G38">
        <v>501</v>
      </c>
      <c r="H38">
        <v>0.25</v>
      </c>
      <c r="J38">
        <v>0</v>
      </c>
      <c r="K38">
        <v>9.99</v>
      </c>
      <c r="L38" t="s">
        <v>103</v>
      </c>
      <c r="M38" s="1">
        <v>45458</v>
      </c>
      <c r="N38">
        <f>YEAR(Raw_Data[[#This Row],[join_date_UK]])</f>
        <v>2024</v>
      </c>
    </row>
    <row r="39" spans="1:14" x14ac:dyDescent="0.3">
      <c r="A39" t="s">
        <v>104</v>
      </c>
      <c r="B39" t="s">
        <v>26</v>
      </c>
      <c r="C39">
        <v>42</v>
      </c>
      <c r="D39" t="s">
        <v>23</v>
      </c>
      <c r="E39" t="s">
        <v>94</v>
      </c>
      <c r="F39">
        <v>4.5</v>
      </c>
      <c r="G39">
        <v>520</v>
      </c>
      <c r="H39">
        <v>0.15</v>
      </c>
      <c r="J39">
        <v>1</v>
      </c>
      <c r="K39">
        <v>12.99</v>
      </c>
      <c r="L39" t="s">
        <v>74</v>
      </c>
      <c r="M39" s="1">
        <v>45173</v>
      </c>
      <c r="N39">
        <f>YEAR(Raw_Data[[#This Row],[join_date_UK]])</f>
        <v>2023</v>
      </c>
    </row>
    <row r="40" spans="1:14" x14ac:dyDescent="0.3">
      <c r="A40" t="s">
        <v>105</v>
      </c>
      <c r="B40" t="s">
        <v>19</v>
      </c>
      <c r="C40">
        <v>49</v>
      </c>
      <c r="D40" t="s">
        <v>34</v>
      </c>
      <c r="E40" t="s">
        <v>94</v>
      </c>
      <c r="F40">
        <v>13.9</v>
      </c>
      <c r="G40">
        <v>480</v>
      </c>
      <c r="H40">
        <v>0.3</v>
      </c>
      <c r="J40">
        <v>0</v>
      </c>
      <c r="K40">
        <v>9.99</v>
      </c>
      <c r="L40" t="s">
        <v>106</v>
      </c>
      <c r="M40" s="1">
        <v>45363</v>
      </c>
      <c r="N40">
        <f>YEAR(Raw_Data[[#This Row],[join_date_UK]])</f>
        <v>2024</v>
      </c>
    </row>
    <row r="41" spans="1:14" x14ac:dyDescent="0.3">
      <c r="A41" t="s">
        <v>107</v>
      </c>
      <c r="B41" t="s">
        <v>22</v>
      </c>
      <c r="C41">
        <v>45</v>
      </c>
      <c r="D41" t="s">
        <v>23</v>
      </c>
      <c r="E41" t="s">
        <v>94</v>
      </c>
      <c r="F41">
        <v>11.2</v>
      </c>
      <c r="G41">
        <v>498</v>
      </c>
      <c r="H41">
        <v>0.1</v>
      </c>
      <c r="J41">
        <v>1</v>
      </c>
      <c r="L41" t="s">
        <v>108</v>
      </c>
      <c r="M41" s="1">
        <v>44565</v>
      </c>
      <c r="N41">
        <f>YEAR(Raw_Data[[#This Row],[join_date_UK]])</f>
        <v>2022</v>
      </c>
    </row>
    <row r="42" spans="1:14" x14ac:dyDescent="0.3">
      <c r="A42" t="s">
        <v>109</v>
      </c>
      <c r="B42" t="s">
        <v>39</v>
      </c>
      <c r="C42">
        <v>56</v>
      </c>
      <c r="D42" t="s">
        <v>30</v>
      </c>
      <c r="E42" t="s">
        <v>94</v>
      </c>
      <c r="F42">
        <v>6</v>
      </c>
      <c r="G42">
        <v>492</v>
      </c>
      <c r="H42">
        <v>0.1</v>
      </c>
      <c r="J42">
        <v>0</v>
      </c>
      <c r="K42">
        <v>7.99</v>
      </c>
      <c r="L42" t="s">
        <v>110</v>
      </c>
      <c r="M42" s="1">
        <v>44567</v>
      </c>
      <c r="N42">
        <f>YEAR(Raw_Data[[#This Row],[join_date_UK]])</f>
        <v>2022</v>
      </c>
    </row>
    <row r="43" spans="1:14" x14ac:dyDescent="0.3">
      <c r="A43" t="s">
        <v>111</v>
      </c>
      <c r="B43" t="s">
        <v>39</v>
      </c>
      <c r="C43">
        <v>17</v>
      </c>
      <c r="D43" t="s">
        <v>23</v>
      </c>
      <c r="E43" t="s">
        <v>94</v>
      </c>
      <c r="F43">
        <v>5.9</v>
      </c>
      <c r="G43">
        <v>514</v>
      </c>
      <c r="H43">
        <v>0.3</v>
      </c>
      <c r="J43">
        <v>1</v>
      </c>
      <c r="K43">
        <v>9.99</v>
      </c>
      <c r="L43" t="s">
        <v>112</v>
      </c>
      <c r="M43" s="1">
        <v>45219</v>
      </c>
      <c r="N43">
        <f>YEAR(Raw_Data[[#This Row],[join_date_UK]])</f>
        <v>2023</v>
      </c>
    </row>
    <row r="44" spans="1:14" x14ac:dyDescent="0.3">
      <c r="A44" t="s">
        <v>113</v>
      </c>
      <c r="B44" t="s">
        <v>39</v>
      </c>
      <c r="C44">
        <v>46</v>
      </c>
      <c r="D44" t="s">
        <v>34</v>
      </c>
      <c r="E44" t="s">
        <v>94</v>
      </c>
      <c r="F44">
        <v>5.3</v>
      </c>
      <c r="G44">
        <v>524</v>
      </c>
      <c r="H44">
        <v>0.1</v>
      </c>
      <c r="J44">
        <v>0</v>
      </c>
      <c r="K44">
        <v>9.99</v>
      </c>
      <c r="L44" t="s">
        <v>114</v>
      </c>
      <c r="M44" s="1">
        <v>44639</v>
      </c>
      <c r="N44">
        <f>YEAR(Raw_Data[[#This Row],[join_date_UK]])</f>
        <v>2022</v>
      </c>
    </row>
    <row r="45" spans="1:14" x14ac:dyDescent="0.3">
      <c r="A45" t="s">
        <v>115</v>
      </c>
      <c r="B45" t="s">
        <v>19</v>
      </c>
      <c r="C45">
        <v>22</v>
      </c>
      <c r="D45" t="s">
        <v>15</v>
      </c>
      <c r="E45" t="s">
        <v>94</v>
      </c>
      <c r="F45">
        <v>10.5</v>
      </c>
      <c r="G45">
        <v>487</v>
      </c>
      <c r="H45">
        <v>0.05</v>
      </c>
      <c r="J45">
        <v>0</v>
      </c>
      <c r="K45">
        <v>9.99</v>
      </c>
      <c r="L45" t="s">
        <v>116</v>
      </c>
      <c r="M45" s="1">
        <v>44818</v>
      </c>
      <c r="N45">
        <f>YEAR(Raw_Data[[#This Row],[join_date_UK]])</f>
        <v>2022</v>
      </c>
    </row>
    <row r="46" spans="1:14" x14ac:dyDescent="0.3">
      <c r="A46" t="s">
        <v>117</v>
      </c>
      <c r="B46" t="s">
        <v>29</v>
      </c>
      <c r="C46">
        <v>25</v>
      </c>
      <c r="D46" t="s">
        <v>23</v>
      </c>
      <c r="E46" t="s">
        <v>16</v>
      </c>
      <c r="F46">
        <v>10</v>
      </c>
      <c r="G46">
        <v>452</v>
      </c>
      <c r="H46">
        <v>0.1</v>
      </c>
      <c r="I46">
        <v>1</v>
      </c>
      <c r="J46">
        <v>0</v>
      </c>
      <c r="K46">
        <v>9.99</v>
      </c>
      <c r="L46" t="s">
        <v>118</v>
      </c>
      <c r="M46" s="1">
        <v>44730</v>
      </c>
      <c r="N46">
        <f>YEAR(Raw_Data[[#This Row],[join_date_UK]])</f>
        <v>2022</v>
      </c>
    </row>
    <row r="47" spans="1:14" x14ac:dyDescent="0.3">
      <c r="A47" t="s">
        <v>119</v>
      </c>
      <c r="B47" t="s">
        <v>44</v>
      </c>
      <c r="C47">
        <v>57</v>
      </c>
      <c r="D47" t="s">
        <v>23</v>
      </c>
      <c r="E47" t="s">
        <v>16</v>
      </c>
      <c r="F47">
        <v>11.8</v>
      </c>
      <c r="G47">
        <v>530</v>
      </c>
      <c r="H47">
        <v>0.1</v>
      </c>
      <c r="I47">
        <v>1</v>
      </c>
      <c r="J47">
        <v>0</v>
      </c>
      <c r="K47">
        <v>7.99</v>
      </c>
      <c r="L47" t="s">
        <v>120</v>
      </c>
      <c r="M47" s="1">
        <v>44955</v>
      </c>
      <c r="N47">
        <f>YEAR(Raw_Data[[#This Row],[join_date_UK]])</f>
        <v>2023</v>
      </c>
    </row>
    <row r="48" spans="1:14" x14ac:dyDescent="0.3">
      <c r="A48" t="s">
        <v>121</v>
      </c>
      <c r="B48" t="s">
        <v>73</v>
      </c>
      <c r="C48">
        <v>57</v>
      </c>
      <c r="D48" t="s">
        <v>34</v>
      </c>
      <c r="E48" t="s">
        <v>16</v>
      </c>
      <c r="F48">
        <v>7.4</v>
      </c>
      <c r="G48">
        <v>524</v>
      </c>
      <c r="H48">
        <v>0.15</v>
      </c>
      <c r="I48">
        <v>1</v>
      </c>
      <c r="J48">
        <v>1</v>
      </c>
      <c r="L48" t="s">
        <v>122</v>
      </c>
      <c r="M48" s="1">
        <v>45483</v>
      </c>
      <c r="N48">
        <f>YEAR(Raw_Data[[#This Row],[join_date_UK]])</f>
        <v>2024</v>
      </c>
    </row>
    <row r="49" spans="1:14" x14ac:dyDescent="0.3">
      <c r="A49" t="s">
        <v>123</v>
      </c>
      <c r="B49" t="s">
        <v>44</v>
      </c>
      <c r="C49">
        <v>20</v>
      </c>
      <c r="D49" t="s">
        <v>23</v>
      </c>
      <c r="E49" t="s">
        <v>16</v>
      </c>
      <c r="F49">
        <v>22.3</v>
      </c>
      <c r="G49">
        <v>488</v>
      </c>
      <c r="H49">
        <v>0.25</v>
      </c>
      <c r="I49">
        <v>1</v>
      </c>
      <c r="J49">
        <v>1</v>
      </c>
      <c r="K49">
        <v>7.99</v>
      </c>
      <c r="L49" t="s">
        <v>124</v>
      </c>
      <c r="M49" s="1">
        <v>44634</v>
      </c>
      <c r="N49">
        <f>YEAR(Raw_Data[[#This Row],[join_date_UK]])</f>
        <v>2022</v>
      </c>
    </row>
    <row r="50" spans="1:14" x14ac:dyDescent="0.3">
      <c r="A50" t="s">
        <v>125</v>
      </c>
      <c r="B50" t="s">
        <v>39</v>
      </c>
      <c r="C50">
        <v>46</v>
      </c>
      <c r="D50" t="s">
        <v>23</v>
      </c>
      <c r="E50" t="s">
        <v>16</v>
      </c>
      <c r="F50">
        <v>13.4</v>
      </c>
      <c r="G50">
        <v>526</v>
      </c>
      <c r="H50">
        <v>0.25</v>
      </c>
      <c r="I50">
        <v>1</v>
      </c>
      <c r="J50">
        <v>0</v>
      </c>
      <c r="K50">
        <v>7.99</v>
      </c>
      <c r="L50" t="s">
        <v>126</v>
      </c>
      <c r="M50" s="1">
        <v>45068</v>
      </c>
      <c r="N50">
        <f>YEAR(Raw_Data[[#This Row],[join_date_UK]])</f>
        <v>2023</v>
      </c>
    </row>
    <row r="51" spans="1:14" x14ac:dyDescent="0.3">
      <c r="A51" t="s">
        <v>127</v>
      </c>
      <c r="B51" t="s">
        <v>29</v>
      </c>
      <c r="C51">
        <v>19</v>
      </c>
      <c r="D51" t="s">
        <v>34</v>
      </c>
      <c r="E51" t="s">
        <v>16</v>
      </c>
      <c r="F51">
        <v>6.7</v>
      </c>
      <c r="G51">
        <v>526</v>
      </c>
      <c r="H51">
        <v>0.05</v>
      </c>
      <c r="I51">
        <v>1</v>
      </c>
      <c r="J51">
        <v>0</v>
      </c>
      <c r="L51" t="s">
        <v>128</v>
      </c>
      <c r="M51" s="1">
        <v>44846</v>
      </c>
      <c r="N51">
        <f>YEAR(Raw_Data[[#This Row],[join_date_UK]])</f>
        <v>2022</v>
      </c>
    </row>
    <row r="52" spans="1:14" x14ac:dyDescent="0.3">
      <c r="A52" t="s">
        <v>129</v>
      </c>
      <c r="B52" t="s">
        <v>39</v>
      </c>
      <c r="C52">
        <v>52</v>
      </c>
      <c r="D52" t="s">
        <v>23</v>
      </c>
      <c r="E52" t="s">
        <v>16</v>
      </c>
      <c r="F52">
        <v>15.4</v>
      </c>
      <c r="G52">
        <v>480</v>
      </c>
      <c r="H52">
        <v>0.2</v>
      </c>
      <c r="I52">
        <v>1</v>
      </c>
      <c r="J52">
        <v>0</v>
      </c>
      <c r="K52">
        <v>12.99</v>
      </c>
      <c r="L52" t="s">
        <v>130</v>
      </c>
      <c r="M52" s="1">
        <v>44631</v>
      </c>
      <c r="N52">
        <f>YEAR(Raw_Data[[#This Row],[join_date_UK]])</f>
        <v>2022</v>
      </c>
    </row>
    <row r="53" spans="1:14" x14ac:dyDescent="0.3">
      <c r="A53" t="s">
        <v>131</v>
      </c>
      <c r="B53" t="s">
        <v>22</v>
      </c>
      <c r="C53">
        <v>47</v>
      </c>
      <c r="D53" t="s">
        <v>34</v>
      </c>
      <c r="E53" t="s">
        <v>16</v>
      </c>
      <c r="F53">
        <v>0.2</v>
      </c>
      <c r="G53">
        <v>511</v>
      </c>
      <c r="H53">
        <v>0.05</v>
      </c>
      <c r="I53">
        <v>1</v>
      </c>
      <c r="J53">
        <v>0</v>
      </c>
      <c r="L53" t="s">
        <v>132</v>
      </c>
      <c r="M53" s="1">
        <v>44871</v>
      </c>
      <c r="N53">
        <f>YEAR(Raw_Data[[#This Row],[join_date_UK]])</f>
        <v>2022</v>
      </c>
    </row>
    <row r="54" spans="1:14" x14ac:dyDescent="0.3">
      <c r="A54" t="s">
        <v>133</v>
      </c>
      <c r="B54" t="s">
        <v>39</v>
      </c>
      <c r="C54">
        <v>42</v>
      </c>
      <c r="D54" t="s">
        <v>34</v>
      </c>
      <c r="E54" t="s">
        <v>16</v>
      </c>
      <c r="F54">
        <v>10.199999999999999</v>
      </c>
      <c r="G54">
        <v>510</v>
      </c>
      <c r="H54">
        <v>0.3</v>
      </c>
      <c r="I54">
        <v>1</v>
      </c>
      <c r="J54">
        <v>0</v>
      </c>
      <c r="K54">
        <v>7.99</v>
      </c>
      <c r="L54" t="s">
        <v>134</v>
      </c>
      <c r="M54" s="1">
        <v>45475</v>
      </c>
      <c r="N54">
        <f>YEAR(Raw_Data[[#This Row],[join_date_UK]])</f>
        <v>2024</v>
      </c>
    </row>
    <row r="55" spans="1:14" x14ac:dyDescent="0.3">
      <c r="A55" t="s">
        <v>135</v>
      </c>
      <c r="B55" t="s">
        <v>14</v>
      </c>
      <c r="C55">
        <v>48</v>
      </c>
      <c r="D55" t="s">
        <v>23</v>
      </c>
      <c r="E55" t="s">
        <v>16</v>
      </c>
      <c r="F55">
        <v>13.5</v>
      </c>
      <c r="G55">
        <v>468</v>
      </c>
      <c r="H55">
        <v>0.2</v>
      </c>
      <c r="I55">
        <v>1</v>
      </c>
      <c r="J55">
        <v>0</v>
      </c>
      <c r="K55">
        <v>9.99</v>
      </c>
      <c r="L55" t="s">
        <v>136</v>
      </c>
      <c r="M55" s="1">
        <v>45201</v>
      </c>
      <c r="N55">
        <f>YEAR(Raw_Data[[#This Row],[join_date_UK]])</f>
        <v>2023</v>
      </c>
    </row>
    <row r="56" spans="1:14" x14ac:dyDescent="0.3">
      <c r="A56" t="s">
        <v>137</v>
      </c>
      <c r="B56" t="s">
        <v>19</v>
      </c>
      <c r="C56">
        <v>59</v>
      </c>
      <c r="D56" t="s">
        <v>23</v>
      </c>
      <c r="E56" t="s">
        <v>16</v>
      </c>
      <c r="F56">
        <v>14.4</v>
      </c>
      <c r="G56">
        <v>468</v>
      </c>
      <c r="H56">
        <v>0.2</v>
      </c>
      <c r="I56">
        <v>1</v>
      </c>
      <c r="J56">
        <v>0</v>
      </c>
      <c r="K56">
        <v>9.99</v>
      </c>
      <c r="L56" t="s">
        <v>138</v>
      </c>
      <c r="M56" s="1">
        <v>44967</v>
      </c>
      <c r="N56">
        <f>YEAR(Raw_Data[[#This Row],[join_date_UK]])</f>
        <v>2023</v>
      </c>
    </row>
    <row r="57" spans="1:14" x14ac:dyDescent="0.3">
      <c r="A57" t="s">
        <v>139</v>
      </c>
      <c r="B57" t="s">
        <v>39</v>
      </c>
      <c r="C57">
        <v>36</v>
      </c>
      <c r="D57" t="s">
        <v>30</v>
      </c>
      <c r="E57" t="s">
        <v>16</v>
      </c>
      <c r="F57">
        <v>8.5</v>
      </c>
      <c r="G57">
        <v>523</v>
      </c>
      <c r="H57">
        <v>0.1</v>
      </c>
      <c r="I57">
        <v>1</v>
      </c>
      <c r="J57">
        <v>0</v>
      </c>
      <c r="K57">
        <v>7.99</v>
      </c>
      <c r="L57" t="s">
        <v>140</v>
      </c>
      <c r="M57" s="1">
        <v>45041</v>
      </c>
      <c r="N57">
        <f>YEAR(Raw_Data[[#This Row],[join_date_UK]])</f>
        <v>2023</v>
      </c>
    </row>
    <row r="58" spans="1:14" x14ac:dyDescent="0.3">
      <c r="A58" t="s">
        <v>141</v>
      </c>
      <c r="B58" t="s">
        <v>73</v>
      </c>
      <c r="C58">
        <v>59</v>
      </c>
      <c r="D58" t="s">
        <v>23</v>
      </c>
      <c r="E58" t="s">
        <v>16</v>
      </c>
      <c r="F58">
        <v>0.5</v>
      </c>
      <c r="G58">
        <v>490</v>
      </c>
      <c r="H58">
        <v>0.2</v>
      </c>
      <c r="I58">
        <v>1</v>
      </c>
      <c r="J58">
        <v>0</v>
      </c>
      <c r="K58">
        <v>9.99</v>
      </c>
      <c r="L58" t="s">
        <v>142</v>
      </c>
      <c r="M58" s="1">
        <v>45525</v>
      </c>
      <c r="N58">
        <f>YEAR(Raw_Data[[#This Row],[join_date_UK]])</f>
        <v>2024</v>
      </c>
    </row>
    <row r="59" spans="1:14" x14ac:dyDescent="0.3">
      <c r="A59" t="s">
        <v>143</v>
      </c>
      <c r="B59" t="s">
        <v>19</v>
      </c>
      <c r="C59">
        <v>39</v>
      </c>
      <c r="D59" t="s">
        <v>34</v>
      </c>
      <c r="E59" t="s">
        <v>16</v>
      </c>
      <c r="F59">
        <v>6.8</v>
      </c>
      <c r="G59">
        <v>512</v>
      </c>
      <c r="H59">
        <v>0.1</v>
      </c>
      <c r="I59">
        <v>1</v>
      </c>
      <c r="J59">
        <v>1</v>
      </c>
      <c r="K59">
        <v>7.99</v>
      </c>
      <c r="L59" t="s">
        <v>144</v>
      </c>
      <c r="M59" s="1">
        <v>45323</v>
      </c>
      <c r="N59">
        <f>YEAR(Raw_Data[[#This Row],[join_date_UK]])</f>
        <v>2024</v>
      </c>
    </row>
    <row r="60" spans="1:14" x14ac:dyDescent="0.3">
      <c r="A60" t="s">
        <v>145</v>
      </c>
      <c r="B60" t="s">
        <v>22</v>
      </c>
      <c r="C60">
        <v>20</v>
      </c>
      <c r="D60" t="s">
        <v>34</v>
      </c>
      <c r="E60" t="s">
        <v>16</v>
      </c>
      <c r="F60">
        <v>7.8</v>
      </c>
      <c r="G60">
        <v>518</v>
      </c>
      <c r="H60">
        <v>0.2</v>
      </c>
      <c r="I60">
        <v>1</v>
      </c>
      <c r="J60">
        <v>0</v>
      </c>
      <c r="K60">
        <v>5</v>
      </c>
      <c r="L60" t="s">
        <v>146</v>
      </c>
      <c r="M60" s="1">
        <v>45154</v>
      </c>
      <c r="N60">
        <f>YEAR(Raw_Data[[#This Row],[join_date_UK]])</f>
        <v>2023</v>
      </c>
    </row>
    <row r="61" spans="1:14" x14ac:dyDescent="0.3">
      <c r="A61" t="s">
        <v>147</v>
      </c>
      <c r="B61" t="s">
        <v>14</v>
      </c>
      <c r="C61">
        <v>33</v>
      </c>
      <c r="D61" t="s">
        <v>34</v>
      </c>
      <c r="E61" t="s">
        <v>16</v>
      </c>
      <c r="F61">
        <v>8.5</v>
      </c>
      <c r="G61">
        <v>507</v>
      </c>
      <c r="H61">
        <v>0.15</v>
      </c>
      <c r="I61">
        <v>1</v>
      </c>
      <c r="J61">
        <v>1</v>
      </c>
      <c r="K61">
        <v>9.99</v>
      </c>
      <c r="L61" t="s">
        <v>148</v>
      </c>
      <c r="M61" s="1">
        <v>44911</v>
      </c>
      <c r="N61">
        <f>YEAR(Raw_Data[[#This Row],[join_date_UK]])</f>
        <v>2022</v>
      </c>
    </row>
    <row r="62" spans="1:14" x14ac:dyDescent="0.3">
      <c r="A62" t="s">
        <v>149</v>
      </c>
      <c r="B62" t="s">
        <v>33</v>
      </c>
      <c r="C62">
        <v>29</v>
      </c>
      <c r="D62" t="s">
        <v>34</v>
      </c>
      <c r="E62" t="s">
        <v>16</v>
      </c>
      <c r="F62">
        <v>16.600000000000001</v>
      </c>
      <c r="G62">
        <v>491</v>
      </c>
      <c r="H62">
        <v>0.2</v>
      </c>
      <c r="I62">
        <v>1</v>
      </c>
      <c r="J62">
        <v>0</v>
      </c>
      <c r="K62">
        <v>9.99</v>
      </c>
      <c r="L62" t="s">
        <v>150</v>
      </c>
      <c r="M62" s="1">
        <v>44633</v>
      </c>
      <c r="N62">
        <f>YEAR(Raw_Data[[#This Row],[join_date_UK]])</f>
        <v>2022</v>
      </c>
    </row>
    <row r="63" spans="1:14" x14ac:dyDescent="0.3">
      <c r="A63" t="s">
        <v>151</v>
      </c>
      <c r="B63" t="s">
        <v>26</v>
      </c>
      <c r="C63">
        <v>38</v>
      </c>
      <c r="D63" t="s">
        <v>23</v>
      </c>
      <c r="E63" t="s">
        <v>16</v>
      </c>
      <c r="F63">
        <v>1.5</v>
      </c>
      <c r="G63">
        <v>458</v>
      </c>
      <c r="H63">
        <v>0.05</v>
      </c>
      <c r="I63">
        <v>1</v>
      </c>
      <c r="J63">
        <v>1</v>
      </c>
      <c r="K63">
        <v>9.99</v>
      </c>
      <c r="L63" t="s">
        <v>152</v>
      </c>
      <c r="M63" s="1">
        <v>45186</v>
      </c>
      <c r="N63">
        <f>YEAR(Raw_Data[[#This Row],[join_date_UK]])</f>
        <v>2023</v>
      </c>
    </row>
    <row r="64" spans="1:14" x14ac:dyDescent="0.3">
      <c r="A64" t="s">
        <v>153</v>
      </c>
      <c r="B64" t="s">
        <v>19</v>
      </c>
      <c r="C64">
        <v>20</v>
      </c>
      <c r="D64" t="s">
        <v>23</v>
      </c>
      <c r="E64" t="s">
        <v>16</v>
      </c>
      <c r="F64">
        <v>9.4</v>
      </c>
      <c r="G64">
        <v>507</v>
      </c>
      <c r="H64">
        <v>0.3</v>
      </c>
      <c r="I64">
        <v>1</v>
      </c>
      <c r="J64">
        <v>1</v>
      </c>
      <c r="K64">
        <v>9.99</v>
      </c>
      <c r="L64" t="s">
        <v>154</v>
      </c>
      <c r="M64" s="1">
        <v>44713</v>
      </c>
      <c r="N64">
        <f>YEAR(Raw_Data[[#This Row],[join_date_UK]])</f>
        <v>2022</v>
      </c>
    </row>
    <row r="65" spans="1:14" x14ac:dyDescent="0.3">
      <c r="A65" t="s">
        <v>155</v>
      </c>
      <c r="B65" t="s">
        <v>33</v>
      </c>
      <c r="C65">
        <v>63</v>
      </c>
      <c r="D65" t="s">
        <v>23</v>
      </c>
      <c r="E65" t="s">
        <v>16</v>
      </c>
      <c r="F65">
        <v>9.1</v>
      </c>
      <c r="G65">
        <v>481</v>
      </c>
      <c r="H65">
        <v>0.2</v>
      </c>
      <c r="I65">
        <v>1</v>
      </c>
      <c r="J65">
        <v>0</v>
      </c>
      <c r="K65">
        <v>9.99</v>
      </c>
      <c r="L65" t="s">
        <v>156</v>
      </c>
      <c r="M65" s="1">
        <v>45325</v>
      </c>
      <c r="N65">
        <f>YEAR(Raw_Data[[#This Row],[join_date_UK]])</f>
        <v>2024</v>
      </c>
    </row>
    <row r="66" spans="1:14" x14ac:dyDescent="0.3">
      <c r="A66" t="s">
        <v>157</v>
      </c>
      <c r="B66" t="s">
        <v>33</v>
      </c>
      <c r="C66">
        <v>18</v>
      </c>
      <c r="D66" t="s">
        <v>23</v>
      </c>
      <c r="E66" t="s">
        <v>16</v>
      </c>
      <c r="F66">
        <v>9.5</v>
      </c>
      <c r="G66">
        <v>454</v>
      </c>
      <c r="H66">
        <v>0.1</v>
      </c>
      <c r="I66">
        <v>1</v>
      </c>
      <c r="J66">
        <v>0</v>
      </c>
      <c r="K66">
        <v>9.99</v>
      </c>
      <c r="L66" t="s">
        <v>158</v>
      </c>
      <c r="M66" s="1">
        <v>45571</v>
      </c>
      <c r="N66">
        <f>YEAR(Raw_Data[[#This Row],[join_date_UK]])</f>
        <v>2024</v>
      </c>
    </row>
    <row r="67" spans="1:14" x14ac:dyDescent="0.3">
      <c r="A67" t="s">
        <v>159</v>
      </c>
      <c r="B67" t="s">
        <v>29</v>
      </c>
      <c r="C67">
        <v>16</v>
      </c>
      <c r="D67" t="s">
        <v>23</v>
      </c>
      <c r="E67" t="s">
        <v>16</v>
      </c>
      <c r="F67">
        <v>4.5</v>
      </c>
      <c r="G67">
        <v>482</v>
      </c>
      <c r="H67">
        <v>0.1</v>
      </c>
      <c r="I67">
        <v>1</v>
      </c>
      <c r="J67">
        <v>0</v>
      </c>
      <c r="K67">
        <v>7.99</v>
      </c>
      <c r="L67" t="s">
        <v>160</v>
      </c>
      <c r="M67" s="1">
        <v>45178</v>
      </c>
      <c r="N67">
        <f>YEAR(Raw_Data[[#This Row],[join_date_UK]])</f>
        <v>2023</v>
      </c>
    </row>
    <row r="68" spans="1:14" x14ac:dyDescent="0.3">
      <c r="A68" t="s">
        <v>161</v>
      </c>
      <c r="B68" t="s">
        <v>44</v>
      </c>
      <c r="C68">
        <v>24</v>
      </c>
      <c r="D68" t="s">
        <v>23</v>
      </c>
      <c r="E68" t="s">
        <v>16</v>
      </c>
      <c r="F68">
        <v>8.8000000000000007</v>
      </c>
      <c r="G68">
        <v>508</v>
      </c>
      <c r="H68">
        <v>0.15</v>
      </c>
      <c r="I68">
        <v>1</v>
      </c>
      <c r="J68">
        <v>0</v>
      </c>
      <c r="K68">
        <v>9.99</v>
      </c>
      <c r="L68" t="s">
        <v>162</v>
      </c>
      <c r="M68" s="1">
        <v>45168</v>
      </c>
      <c r="N68">
        <f>YEAR(Raw_Data[[#This Row],[join_date_UK]])</f>
        <v>2023</v>
      </c>
    </row>
    <row r="69" spans="1:14" x14ac:dyDescent="0.3">
      <c r="A69" t="s">
        <v>163</v>
      </c>
      <c r="B69" t="s">
        <v>44</v>
      </c>
      <c r="C69">
        <v>55</v>
      </c>
      <c r="D69" t="s">
        <v>34</v>
      </c>
      <c r="E69" t="s">
        <v>16</v>
      </c>
      <c r="F69">
        <v>6.1</v>
      </c>
      <c r="G69">
        <v>490</v>
      </c>
      <c r="H69">
        <v>0.2</v>
      </c>
      <c r="I69">
        <v>1</v>
      </c>
      <c r="J69">
        <v>1</v>
      </c>
      <c r="K69">
        <v>7.99</v>
      </c>
      <c r="L69" t="s">
        <v>164</v>
      </c>
      <c r="M69" s="1">
        <v>44890</v>
      </c>
      <c r="N69">
        <f>YEAR(Raw_Data[[#This Row],[join_date_UK]])</f>
        <v>2022</v>
      </c>
    </row>
    <row r="70" spans="1:14" x14ac:dyDescent="0.3">
      <c r="A70" t="s">
        <v>165</v>
      </c>
      <c r="B70" t="s">
        <v>29</v>
      </c>
      <c r="C70">
        <v>50</v>
      </c>
      <c r="D70" t="s">
        <v>34</v>
      </c>
      <c r="E70" t="s">
        <v>16</v>
      </c>
      <c r="F70">
        <v>6.5</v>
      </c>
      <c r="G70">
        <v>505</v>
      </c>
      <c r="H70">
        <v>0.3</v>
      </c>
      <c r="I70">
        <v>1</v>
      </c>
      <c r="J70">
        <v>0</v>
      </c>
      <c r="K70">
        <v>9.99</v>
      </c>
      <c r="L70" t="s">
        <v>166</v>
      </c>
      <c r="M70" s="1">
        <v>44919</v>
      </c>
      <c r="N70">
        <f>YEAR(Raw_Data[[#This Row],[join_date_UK]])</f>
        <v>2022</v>
      </c>
    </row>
    <row r="71" spans="1:14" x14ac:dyDescent="0.3">
      <c r="A71" t="s">
        <v>167</v>
      </c>
      <c r="B71" t="s">
        <v>44</v>
      </c>
      <c r="C71">
        <v>17</v>
      </c>
      <c r="D71" t="s">
        <v>34</v>
      </c>
      <c r="E71" t="s">
        <v>16</v>
      </c>
      <c r="F71">
        <v>7.8</v>
      </c>
      <c r="G71">
        <v>473</v>
      </c>
      <c r="H71">
        <v>0.25</v>
      </c>
      <c r="I71">
        <v>1</v>
      </c>
      <c r="J71">
        <v>0</v>
      </c>
      <c r="K71">
        <v>5</v>
      </c>
      <c r="L71" t="s">
        <v>168</v>
      </c>
      <c r="M71" s="1">
        <v>45191</v>
      </c>
      <c r="N71">
        <f>YEAR(Raw_Data[[#This Row],[join_date_UK]])</f>
        <v>2023</v>
      </c>
    </row>
    <row r="72" spans="1:14" x14ac:dyDescent="0.3">
      <c r="A72" t="s">
        <v>169</v>
      </c>
      <c r="B72" t="s">
        <v>19</v>
      </c>
      <c r="C72">
        <v>57</v>
      </c>
      <c r="D72" t="s">
        <v>30</v>
      </c>
      <c r="E72" t="s">
        <v>53</v>
      </c>
      <c r="F72">
        <v>4.4000000000000004</v>
      </c>
      <c r="G72">
        <v>513</v>
      </c>
      <c r="H72">
        <v>0.2</v>
      </c>
      <c r="I72">
        <v>1</v>
      </c>
      <c r="J72">
        <v>0</v>
      </c>
      <c r="K72">
        <v>0</v>
      </c>
      <c r="L72" t="s">
        <v>130</v>
      </c>
      <c r="M72" s="1">
        <v>44631</v>
      </c>
      <c r="N72">
        <f>YEAR(Raw_Data[[#This Row],[join_date_UK]])</f>
        <v>2022</v>
      </c>
    </row>
    <row r="73" spans="1:14" x14ac:dyDescent="0.3">
      <c r="A73" t="s">
        <v>170</v>
      </c>
      <c r="B73" t="s">
        <v>39</v>
      </c>
      <c r="C73">
        <v>47</v>
      </c>
      <c r="D73" t="s">
        <v>34</v>
      </c>
      <c r="E73" t="s">
        <v>53</v>
      </c>
      <c r="F73">
        <v>9.1999999999999993</v>
      </c>
      <c r="G73">
        <v>476</v>
      </c>
      <c r="H73">
        <v>0.1</v>
      </c>
      <c r="I73">
        <v>1</v>
      </c>
      <c r="J73">
        <v>0</v>
      </c>
      <c r="K73">
        <v>0</v>
      </c>
      <c r="L73" t="s">
        <v>171</v>
      </c>
      <c r="M73" s="1">
        <v>45394</v>
      </c>
      <c r="N73">
        <f>YEAR(Raw_Data[[#This Row],[join_date_UK]])</f>
        <v>2024</v>
      </c>
    </row>
    <row r="74" spans="1:14" x14ac:dyDescent="0.3">
      <c r="A74" t="s">
        <v>172</v>
      </c>
      <c r="B74" t="s">
        <v>39</v>
      </c>
      <c r="C74">
        <v>40</v>
      </c>
      <c r="D74" t="s">
        <v>30</v>
      </c>
      <c r="E74" t="s">
        <v>53</v>
      </c>
      <c r="F74">
        <v>2.1</v>
      </c>
      <c r="G74">
        <v>462</v>
      </c>
      <c r="H74">
        <v>0.25</v>
      </c>
      <c r="I74">
        <v>1</v>
      </c>
      <c r="J74">
        <v>0</v>
      </c>
      <c r="K74">
        <v>0</v>
      </c>
      <c r="L74" t="s">
        <v>173</v>
      </c>
      <c r="M74" s="1">
        <v>44718</v>
      </c>
      <c r="N74">
        <f>YEAR(Raw_Data[[#This Row],[join_date_UK]])</f>
        <v>2022</v>
      </c>
    </row>
    <row r="75" spans="1:14" x14ac:dyDescent="0.3">
      <c r="A75" t="s">
        <v>174</v>
      </c>
      <c r="B75" t="s">
        <v>29</v>
      </c>
      <c r="C75">
        <v>59</v>
      </c>
      <c r="D75" t="s">
        <v>23</v>
      </c>
      <c r="E75" t="s">
        <v>53</v>
      </c>
      <c r="F75">
        <v>12.9</v>
      </c>
      <c r="G75">
        <v>519</v>
      </c>
      <c r="H75">
        <v>0.25</v>
      </c>
      <c r="I75">
        <v>1</v>
      </c>
      <c r="J75">
        <v>0</v>
      </c>
      <c r="K75">
        <v>0</v>
      </c>
      <c r="L75" t="s">
        <v>175</v>
      </c>
      <c r="M75" s="1">
        <v>45220</v>
      </c>
      <c r="N75">
        <f>YEAR(Raw_Data[[#This Row],[join_date_UK]])</f>
        <v>2023</v>
      </c>
    </row>
    <row r="76" spans="1:14" x14ac:dyDescent="0.3">
      <c r="A76" t="s">
        <v>176</v>
      </c>
      <c r="B76" t="s">
        <v>22</v>
      </c>
      <c r="C76">
        <v>59</v>
      </c>
      <c r="D76" t="s">
        <v>15</v>
      </c>
      <c r="E76" t="s">
        <v>53</v>
      </c>
      <c r="F76">
        <v>7.4</v>
      </c>
      <c r="G76">
        <v>502</v>
      </c>
      <c r="H76">
        <v>0.25</v>
      </c>
      <c r="I76">
        <v>1</v>
      </c>
      <c r="J76">
        <v>1</v>
      </c>
      <c r="K76">
        <v>0</v>
      </c>
      <c r="L76" t="s">
        <v>47</v>
      </c>
      <c r="M76" s="1">
        <v>44739</v>
      </c>
      <c r="N76">
        <f>YEAR(Raw_Data[[#This Row],[join_date_UK]])</f>
        <v>2022</v>
      </c>
    </row>
    <row r="77" spans="1:14" x14ac:dyDescent="0.3">
      <c r="A77" t="s">
        <v>177</v>
      </c>
      <c r="B77" t="s">
        <v>39</v>
      </c>
      <c r="C77">
        <v>49</v>
      </c>
      <c r="D77" t="s">
        <v>34</v>
      </c>
      <c r="E77" t="s">
        <v>53</v>
      </c>
      <c r="F77">
        <v>12.7</v>
      </c>
      <c r="G77">
        <v>511</v>
      </c>
      <c r="H77">
        <v>0.15</v>
      </c>
      <c r="I77">
        <v>1</v>
      </c>
      <c r="J77">
        <v>0</v>
      </c>
      <c r="K77">
        <v>0</v>
      </c>
      <c r="L77" t="s">
        <v>178</v>
      </c>
      <c r="M77" s="1">
        <v>45223</v>
      </c>
      <c r="N77">
        <f>YEAR(Raw_Data[[#This Row],[join_date_UK]])</f>
        <v>2023</v>
      </c>
    </row>
    <row r="78" spans="1:14" x14ac:dyDescent="0.3">
      <c r="A78" t="s">
        <v>179</v>
      </c>
      <c r="B78" t="s">
        <v>39</v>
      </c>
      <c r="C78">
        <v>34</v>
      </c>
      <c r="D78" t="s">
        <v>15</v>
      </c>
      <c r="E78" t="s">
        <v>53</v>
      </c>
      <c r="F78">
        <v>19.399999999999999</v>
      </c>
      <c r="G78">
        <v>508</v>
      </c>
      <c r="H78">
        <v>0.25</v>
      </c>
      <c r="I78">
        <v>1</v>
      </c>
      <c r="J78">
        <v>0</v>
      </c>
      <c r="K78">
        <v>0</v>
      </c>
      <c r="L78" t="s">
        <v>180</v>
      </c>
      <c r="M78" s="1">
        <v>44659</v>
      </c>
      <c r="N78">
        <f>YEAR(Raw_Data[[#This Row],[join_date_UK]])</f>
        <v>2022</v>
      </c>
    </row>
    <row r="79" spans="1:14" x14ac:dyDescent="0.3">
      <c r="A79" t="s">
        <v>181</v>
      </c>
      <c r="B79" t="s">
        <v>39</v>
      </c>
      <c r="C79">
        <v>63</v>
      </c>
      <c r="D79" t="s">
        <v>23</v>
      </c>
      <c r="E79" t="s">
        <v>53</v>
      </c>
      <c r="F79">
        <v>11.3</v>
      </c>
      <c r="G79">
        <v>492</v>
      </c>
      <c r="H79">
        <v>0.1</v>
      </c>
      <c r="I79">
        <v>1</v>
      </c>
      <c r="J79">
        <v>0</v>
      </c>
      <c r="K79">
        <v>0</v>
      </c>
      <c r="L79" t="s">
        <v>182</v>
      </c>
      <c r="M79" s="1">
        <v>44813</v>
      </c>
      <c r="N79">
        <f>YEAR(Raw_Data[[#This Row],[join_date_UK]])</f>
        <v>2022</v>
      </c>
    </row>
    <row r="80" spans="1:14" x14ac:dyDescent="0.3">
      <c r="A80" t="s">
        <v>183</v>
      </c>
      <c r="B80" t="s">
        <v>14</v>
      </c>
      <c r="C80">
        <v>58</v>
      </c>
      <c r="D80" t="s">
        <v>15</v>
      </c>
      <c r="E80" t="s">
        <v>53</v>
      </c>
      <c r="F80">
        <v>3.8</v>
      </c>
      <c r="G80">
        <v>498</v>
      </c>
      <c r="H80">
        <v>0.15</v>
      </c>
      <c r="I80">
        <v>1</v>
      </c>
      <c r="J80">
        <v>0</v>
      </c>
      <c r="K80">
        <v>0</v>
      </c>
      <c r="L80" t="s">
        <v>184</v>
      </c>
      <c r="M80" s="1">
        <v>44577</v>
      </c>
      <c r="N80">
        <f>YEAR(Raw_Data[[#This Row],[join_date_UK]])</f>
        <v>2022</v>
      </c>
    </row>
    <row r="81" spans="1:14" x14ac:dyDescent="0.3">
      <c r="A81" t="s">
        <v>185</v>
      </c>
      <c r="B81" t="s">
        <v>19</v>
      </c>
      <c r="C81">
        <v>62</v>
      </c>
      <c r="D81" t="s">
        <v>30</v>
      </c>
      <c r="E81" t="s">
        <v>53</v>
      </c>
      <c r="F81">
        <v>10.3</v>
      </c>
      <c r="G81">
        <v>466</v>
      </c>
      <c r="H81">
        <v>0.15</v>
      </c>
      <c r="I81">
        <v>1</v>
      </c>
      <c r="J81">
        <v>0</v>
      </c>
      <c r="K81">
        <v>0</v>
      </c>
      <c r="L81" t="s">
        <v>186</v>
      </c>
      <c r="M81" s="1">
        <v>45254</v>
      </c>
      <c r="N81">
        <f>YEAR(Raw_Data[[#This Row],[join_date_UK]])</f>
        <v>2023</v>
      </c>
    </row>
    <row r="82" spans="1:14" x14ac:dyDescent="0.3">
      <c r="A82" t="s">
        <v>187</v>
      </c>
      <c r="B82" t="s">
        <v>22</v>
      </c>
      <c r="C82">
        <v>52</v>
      </c>
      <c r="D82" t="s">
        <v>23</v>
      </c>
      <c r="E82" t="s">
        <v>53</v>
      </c>
      <c r="F82">
        <v>8</v>
      </c>
      <c r="G82">
        <v>496</v>
      </c>
      <c r="H82">
        <v>0.25</v>
      </c>
      <c r="I82">
        <v>1</v>
      </c>
      <c r="J82">
        <v>0</v>
      </c>
      <c r="K82">
        <v>0</v>
      </c>
      <c r="L82" t="s">
        <v>188</v>
      </c>
      <c r="M82" s="1">
        <v>44877</v>
      </c>
      <c r="N82">
        <f>YEAR(Raw_Data[[#This Row],[join_date_UK]])</f>
        <v>2022</v>
      </c>
    </row>
    <row r="83" spans="1:14" x14ac:dyDescent="0.3">
      <c r="A83" t="s">
        <v>189</v>
      </c>
      <c r="B83" t="s">
        <v>19</v>
      </c>
      <c r="C83">
        <v>64</v>
      </c>
      <c r="D83" t="s">
        <v>34</v>
      </c>
      <c r="E83" t="s">
        <v>66</v>
      </c>
      <c r="F83">
        <v>7.6</v>
      </c>
      <c r="G83">
        <v>461</v>
      </c>
      <c r="H83">
        <v>0.15</v>
      </c>
      <c r="I83">
        <v>1</v>
      </c>
      <c r="J83">
        <v>0</v>
      </c>
      <c r="K83">
        <v>9.99</v>
      </c>
      <c r="L83" t="s">
        <v>190</v>
      </c>
      <c r="M83" s="1">
        <v>44590</v>
      </c>
      <c r="N83">
        <f>YEAR(Raw_Data[[#This Row],[join_date_UK]])</f>
        <v>2022</v>
      </c>
    </row>
    <row r="84" spans="1:14" x14ac:dyDescent="0.3">
      <c r="A84" t="s">
        <v>191</v>
      </c>
      <c r="B84" t="s">
        <v>22</v>
      </c>
      <c r="C84">
        <v>58</v>
      </c>
      <c r="D84" t="s">
        <v>34</v>
      </c>
      <c r="E84" t="s">
        <v>66</v>
      </c>
      <c r="F84">
        <v>7.5</v>
      </c>
      <c r="G84">
        <v>524</v>
      </c>
      <c r="H84">
        <v>0.1</v>
      </c>
      <c r="I84">
        <v>1</v>
      </c>
      <c r="J84">
        <v>1</v>
      </c>
      <c r="K84">
        <v>7.99</v>
      </c>
      <c r="L84" t="s">
        <v>192</v>
      </c>
      <c r="M84" s="1">
        <v>45064</v>
      </c>
      <c r="N84">
        <f>YEAR(Raw_Data[[#This Row],[join_date_UK]])</f>
        <v>2023</v>
      </c>
    </row>
    <row r="85" spans="1:14" x14ac:dyDescent="0.3">
      <c r="A85" t="s">
        <v>193</v>
      </c>
      <c r="B85" t="s">
        <v>44</v>
      </c>
      <c r="C85">
        <v>32</v>
      </c>
      <c r="D85" t="s">
        <v>30</v>
      </c>
      <c r="E85" t="s">
        <v>66</v>
      </c>
      <c r="F85">
        <v>10</v>
      </c>
      <c r="G85">
        <v>500</v>
      </c>
      <c r="H85">
        <v>0.3</v>
      </c>
      <c r="I85">
        <v>1</v>
      </c>
      <c r="J85">
        <v>0</v>
      </c>
      <c r="K85">
        <v>9.99</v>
      </c>
      <c r="L85" t="s">
        <v>194</v>
      </c>
      <c r="M85" s="1">
        <v>44919</v>
      </c>
      <c r="N85">
        <f>YEAR(Raw_Data[[#This Row],[join_date_UK]])</f>
        <v>2022</v>
      </c>
    </row>
    <row r="86" spans="1:14" x14ac:dyDescent="0.3">
      <c r="A86" t="s">
        <v>195</v>
      </c>
      <c r="B86" t="s">
        <v>39</v>
      </c>
      <c r="C86">
        <v>14</v>
      </c>
      <c r="D86" t="s">
        <v>15</v>
      </c>
      <c r="E86" t="s">
        <v>66</v>
      </c>
      <c r="F86">
        <v>4.5999999999999996</v>
      </c>
      <c r="G86">
        <v>480</v>
      </c>
      <c r="H86">
        <v>0.1</v>
      </c>
      <c r="I86">
        <v>1</v>
      </c>
      <c r="J86">
        <v>1</v>
      </c>
      <c r="K86">
        <v>7.99</v>
      </c>
      <c r="L86" t="s">
        <v>196</v>
      </c>
      <c r="M86" s="1">
        <v>44642</v>
      </c>
      <c r="N86">
        <f>YEAR(Raw_Data[[#This Row],[join_date_UK]])</f>
        <v>2022</v>
      </c>
    </row>
    <row r="87" spans="1:14" x14ac:dyDescent="0.3">
      <c r="A87" t="s">
        <v>197</v>
      </c>
      <c r="B87" t="s">
        <v>19</v>
      </c>
      <c r="C87">
        <v>27</v>
      </c>
      <c r="D87" t="s">
        <v>23</v>
      </c>
      <c r="E87" t="s">
        <v>66</v>
      </c>
      <c r="F87">
        <v>1.3</v>
      </c>
      <c r="G87">
        <v>480</v>
      </c>
      <c r="H87">
        <v>0.2</v>
      </c>
      <c r="I87">
        <v>1</v>
      </c>
      <c r="J87">
        <v>0</v>
      </c>
      <c r="K87">
        <v>9.99</v>
      </c>
      <c r="L87" t="s">
        <v>198</v>
      </c>
      <c r="M87" s="1">
        <v>44910</v>
      </c>
      <c r="N87">
        <f>YEAR(Raw_Data[[#This Row],[join_date_UK]])</f>
        <v>2022</v>
      </c>
    </row>
    <row r="88" spans="1:14" x14ac:dyDescent="0.3">
      <c r="A88" t="s">
        <v>199</v>
      </c>
      <c r="B88" t="s">
        <v>39</v>
      </c>
      <c r="C88">
        <v>33</v>
      </c>
      <c r="D88" t="s">
        <v>30</v>
      </c>
      <c r="E88" t="s">
        <v>66</v>
      </c>
      <c r="F88">
        <v>14.4</v>
      </c>
      <c r="G88">
        <v>487</v>
      </c>
      <c r="H88">
        <v>0.15</v>
      </c>
      <c r="I88">
        <v>1</v>
      </c>
      <c r="J88">
        <v>0</v>
      </c>
      <c r="K88">
        <v>9.99</v>
      </c>
      <c r="L88" t="s">
        <v>200</v>
      </c>
      <c r="M88" s="1">
        <v>45135</v>
      </c>
      <c r="N88">
        <f>YEAR(Raw_Data[[#This Row],[join_date_UK]])</f>
        <v>2023</v>
      </c>
    </row>
    <row r="89" spans="1:14" x14ac:dyDescent="0.3">
      <c r="A89" t="s">
        <v>201</v>
      </c>
      <c r="B89" t="s">
        <v>39</v>
      </c>
      <c r="C89">
        <v>15</v>
      </c>
      <c r="D89" t="s">
        <v>30</v>
      </c>
      <c r="E89" t="s">
        <v>66</v>
      </c>
      <c r="F89">
        <v>14.9</v>
      </c>
      <c r="G89">
        <v>484</v>
      </c>
      <c r="H89">
        <v>0.2</v>
      </c>
      <c r="I89">
        <v>1</v>
      </c>
      <c r="J89">
        <v>0</v>
      </c>
      <c r="K89">
        <v>12.99</v>
      </c>
      <c r="L89" t="s">
        <v>202</v>
      </c>
      <c r="M89" s="1">
        <v>45229</v>
      </c>
      <c r="N89">
        <f>YEAR(Raw_Data[[#This Row],[join_date_UK]])</f>
        <v>2023</v>
      </c>
    </row>
    <row r="90" spans="1:14" x14ac:dyDescent="0.3">
      <c r="A90" t="s">
        <v>203</v>
      </c>
      <c r="B90" t="s">
        <v>22</v>
      </c>
      <c r="C90">
        <v>39</v>
      </c>
      <c r="D90" t="s">
        <v>30</v>
      </c>
      <c r="E90" t="s">
        <v>66</v>
      </c>
      <c r="F90">
        <v>5.4</v>
      </c>
      <c r="G90">
        <v>473</v>
      </c>
      <c r="H90">
        <v>0.3</v>
      </c>
      <c r="I90">
        <v>1</v>
      </c>
      <c r="J90">
        <v>0</v>
      </c>
      <c r="K90">
        <v>7.99</v>
      </c>
      <c r="L90" t="s">
        <v>204</v>
      </c>
      <c r="M90" s="1">
        <v>45293</v>
      </c>
      <c r="N90">
        <f>YEAR(Raw_Data[[#This Row],[join_date_UK]])</f>
        <v>2024</v>
      </c>
    </row>
    <row r="91" spans="1:14" x14ac:dyDescent="0.3">
      <c r="A91" t="s">
        <v>205</v>
      </c>
      <c r="B91" t="s">
        <v>44</v>
      </c>
      <c r="C91">
        <v>41</v>
      </c>
      <c r="D91" t="s">
        <v>34</v>
      </c>
      <c r="E91" t="s">
        <v>66</v>
      </c>
      <c r="F91">
        <v>7.5</v>
      </c>
      <c r="G91">
        <v>494</v>
      </c>
      <c r="H91">
        <v>0.2</v>
      </c>
      <c r="I91">
        <v>1</v>
      </c>
      <c r="J91">
        <v>0</v>
      </c>
      <c r="K91">
        <v>7.99</v>
      </c>
      <c r="L91" t="s">
        <v>206</v>
      </c>
      <c r="M91" s="1">
        <v>44858</v>
      </c>
      <c r="N91">
        <f>YEAR(Raw_Data[[#This Row],[join_date_UK]])</f>
        <v>2022</v>
      </c>
    </row>
    <row r="92" spans="1:14" x14ac:dyDescent="0.3">
      <c r="A92" t="s">
        <v>207</v>
      </c>
      <c r="B92" t="s">
        <v>14</v>
      </c>
      <c r="C92">
        <v>47</v>
      </c>
      <c r="D92" t="s">
        <v>15</v>
      </c>
      <c r="E92" t="s">
        <v>66</v>
      </c>
      <c r="F92">
        <v>3.9</v>
      </c>
      <c r="G92">
        <v>483</v>
      </c>
      <c r="H92">
        <v>0.25</v>
      </c>
      <c r="I92">
        <v>1</v>
      </c>
      <c r="J92">
        <v>0</v>
      </c>
      <c r="K92">
        <v>12.99</v>
      </c>
      <c r="L92" t="s">
        <v>208</v>
      </c>
      <c r="M92" s="1">
        <v>44847</v>
      </c>
      <c r="N92">
        <f>YEAR(Raw_Data[[#This Row],[join_date_UK]])</f>
        <v>2022</v>
      </c>
    </row>
    <row r="93" spans="1:14" x14ac:dyDescent="0.3">
      <c r="A93" t="s">
        <v>209</v>
      </c>
      <c r="B93" t="s">
        <v>14</v>
      </c>
      <c r="C93">
        <v>13</v>
      </c>
      <c r="D93" t="s">
        <v>23</v>
      </c>
      <c r="E93" t="s">
        <v>66</v>
      </c>
      <c r="F93">
        <v>11.4</v>
      </c>
      <c r="G93">
        <v>492</v>
      </c>
      <c r="H93">
        <v>0.25</v>
      </c>
      <c r="I93">
        <v>1</v>
      </c>
      <c r="J93">
        <v>0</v>
      </c>
      <c r="K93">
        <v>12.99</v>
      </c>
      <c r="L93" t="s">
        <v>210</v>
      </c>
      <c r="M93" s="1">
        <v>45456</v>
      </c>
      <c r="N93">
        <f>YEAR(Raw_Data[[#This Row],[join_date_UK]])</f>
        <v>2024</v>
      </c>
    </row>
    <row r="94" spans="1:14" x14ac:dyDescent="0.3">
      <c r="A94" t="s">
        <v>211</v>
      </c>
      <c r="B94" t="s">
        <v>39</v>
      </c>
      <c r="C94">
        <v>56</v>
      </c>
      <c r="D94" t="s">
        <v>23</v>
      </c>
      <c r="E94" t="s">
        <v>66</v>
      </c>
      <c r="F94">
        <v>5.6</v>
      </c>
      <c r="G94">
        <v>516</v>
      </c>
      <c r="H94">
        <v>0.05</v>
      </c>
      <c r="I94">
        <v>1</v>
      </c>
      <c r="J94">
        <v>1</v>
      </c>
      <c r="K94">
        <v>9.99</v>
      </c>
      <c r="L94" t="s">
        <v>212</v>
      </c>
      <c r="M94" s="1">
        <v>45099</v>
      </c>
      <c r="N94">
        <f>YEAR(Raw_Data[[#This Row],[join_date_UK]])</f>
        <v>2023</v>
      </c>
    </row>
    <row r="95" spans="1:14" x14ac:dyDescent="0.3">
      <c r="A95" t="s">
        <v>213</v>
      </c>
      <c r="B95" t="s">
        <v>19</v>
      </c>
      <c r="C95">
        <v>18</v>
      </c>
      <c r="D95" t="s">
        <v>34</v>
      </c>
      <c r="E95" t="s">
        <v>66</v>
      </c>
      <c r="F95">
        <v>8.4</v>
      </c>
      <c r="G95">
        <v>479</v>
      </c>
      <c r="H95">
        <v>0.1</v>
      </c>
      <c r="I95">
        <v>1</v>
      </c>
      <c r="J95">
        <v>0</v>
      </c>
      <c r="K95">
        <v>9.99</v>
      </c>
      <c r="L95" t="s">
        <v>214</v>
      </c>
      <c r="M95" s="1">
        <v>45275</v>
      </c>
      <c r="N95">
        <f>YEAR(Raw_Data[[#This Row],[join_date_UK]])</f>
        <v>2023</v>
      </c>
    </row>
    <row r="96" spans="1:14" x14ac:dyDescent="0.3">
      <c r="A96" t="s">
        <v>215</v>
      </c>
      <c r="B96" t="s">
        <v>14</v>
      </c>
      <c r="C96">
        <v>50</v>
      </c>
      <c r="D96" t="s">
        <v>34</v>
      </c>
      <c r="E96" t="s">
        <v>94</v>
      </c>
      <c r="F96">
        <v>16.399999999999999</v>
      </c>
      <c r="G96">
        <v>483</v>
      </c>
      <c r="H96">
        <v>0.05</v>
      </c>
      <c r="I96">
        <v>1</v>
      </c>
      <c r="J96">
        <v>1</v>
      </c>
      <c r="K96">
        <v>9.99</v>
      </c>
      <c r="L96" t="s">
        <v>216</v>
      </c>
      <c r="M96" s="1">
        <v>45078</v>
      </c>
      <c r="N96">
        <f>YEAR(Raw_Data[[#This Row],[join_date_UK]])</f>
        <v>2023</v>
      </c>
    </row>
    <row r="97" spans="1:14" x14ac:dyDescent="0.3">
      <c r="A97" t="s">
        <v>217</v>
      </c>
      <c r="B97" t="s">
        <v>26</v>
      </c>
      <c r="C97">
        <v>20</v>
      </c>
      <c r="D97" t="s">
        <v>23</v>
      </c>
      <c r="E97" t="s">
        <v>94</v>
      </c>
      <c r="F97">
        <v>16.5</v>
      </c>
      <c r="G97">
        <v>491</v>
      </c>
      <c r="H97">
        <v>0.2</v>
      </c>
      <c r="I97">
        <v>1</v>
      </c>
      <c r="J97">
        <v>0</v>
      </c>
      <c r="L97" t="s">
        <v>218</v>
      </c>
      <c r="M97" s="1">
        <v>45035</v>
      </c>
      <c r="N97">
        <f>YEAR(Raw_Data[[#This Row],[join_date_UK]])</f>
        <v>2023</v>
      </c>
    </row>
    <row r="98" spans="1:14" x14ac:dyDescent="0.3">
      <c r="A98" t="s">
        <v>219</v>
      </c>
      <c r="B98" t="s">
        <v>29</v>
      </c>
      <c r="C98">
        <v>32</v>
      </c>
      <c r="D98" t="s">
        <v>34</v>
      </c>
      <c r="E98" t="s">
        <v>94</v>
      </c>
      <c r="F98">
        <v>6.4</v>
      </c>
      <c r="G98">
        <v>488</v>
      </c>
      <c r="H98">
        <v>0.15</v>
      </c>
      <c r="I98">
        <v>1</v>
      </c>
      <c r="J98">
        <v>1</v>
      </c>
      <c r="K98">
        <v>9.99</v>
      </c>
      <c r="L98" t="s">
        <v>214</v>
      </c>
      <c r="M98" s="1">
        <v>45275</v>
      </c>
      <c r="N98">
        <f>YEAR(Raw_Data[[#This Row],[join_date_UK]])</f>
        <v>2023</v>
      </c>
    </row>
    <row r="99" spans="1:14" x14ac:dyDescent="0.3">
      <c r="A99" t="s">
        <v>220</v>
      </c>
      <c r="B99" t="s">
        <v>19</v>
      </c>
      <c r="C99">
        <v>41</v>
      </c>
      <c r="D99" t="s">
        <v>23</v>
      </c>
      <c r="E99" t="s">
        <v>94</v>
      </c>
      <c r="F99">
        <v>2.6</v>
      </c>
      <c r="G99">
        <v>542</v>
      </c>
      <c r="H99">
        <v>0.3</v>
      </c>
      <c r="I99">
        <v>1</v>
      </c>
      <c r="J99">
        <v>1</v>
      </c>
      <c r="L99" t="s">
        <v>221</v>
      </c>
      <c r="M99" s="1">
        <v>44686</v>
      </c>
      <c r="N99">
        <f>YEAR(Raw_Data[[#This Row],[join_date_UK]])</f>
        <v>2022</v>
      </c>
    </row>
    <row r="100" spans="1:14" x14ac:dyDescent="0.3">
      <c r="A100" t="s">
        <v>222</v>
      </c>
      <c r="B100" t="s">
        <v>29</v>
      </c>
      <c r="C100">
        <v>50</v>
      </c>
      <c r="D100" t="s">
        <v>34</v>
      </c>
      <c r="E100" t="s">
        <v>94</v>
      </c>
      <c r="F100">
        <v>8.3000000000000007</v>
      </c>
      <c r="G100">
        <v>518</v>
      </c>
      <c r="H100">
        <v>0.1</v>
      </c>
      <c r="I100">
        <v>1</v>
      </c>
      <c r="J100">
        <v>1</v>
      </c>
      <c r="L100" t="s">
        <v>223</v>
      </c>
      <c r="M100" s="1">
        <v>44957</v>
      </c>
      <c r="N100">
        <f>YEAR(Raw_Data[[#This Row],[join_date_UK]])</f>
        <v>2023</v>
      </c>
    </row>
    <row r="101" spans="1:14" x14ac:dyDescent="0.3">
      <c r="A101" t="s">
        <v>224</v>
      </c>
      <c r="B101" t="s">
        <v>39</v>
      </c>
      <c r="C101">
        <v>48</v>
      </c>
      <c r="D101" t="s">
        <v>34</v>
      </c>
      <c r="E101" t="s">
        <v>94</v>
      </c>
      <c r="F101">
        <v>9.6999999999999993</v>
      </c>
      <c r="G101">
        <v>530</v>
      </c>
      <c r="H101">
        <v>0.1</v>
      </c>
      <c r="I101">
        <v>1</v>
      </c>
      <c r="J101">
        <v>0</v>
      </c>
      <c r="L101" t="s">
        <v>225</v>
      </c>
      <c r="M101" s="1">
        <v>45061</v>
      </c>
      <c r="N101">
        <f>YEAR(Raw_Data[[#This Row],[join_date_UK]])</f>
        <v>2023</v>
      </c>
    </row>
    <row r="102" spans="1:14" x14ac:dyDescent="0.3">
      <c r="A102" t="s">
        <v>226</v>
      </c>
      <c r="B102" t="s">
        <v>39</v>
      </c>
      <c r="C102">
        <v>31</v>
      </c>
      <c r="D102" t="s">
        <v>34</v>
      </c>
      <c r="E102" t="s">
        <v>94</v>
      </c>
      <c r="F102">
        <v>11.2</v>
      </c>
      <c r="G102">
        <v>532</v>
      </c>
      <c r="H102">
        <v>0.1</v>
      </c>
      <c r="I102">
        <v>1</v>
      </c>
      <c r="J102">
        <v>0</v>
      </c>
      <c r="L102" t="s">
        <v>227</v>
      </c>
      <c r="M102" s="1">
        <v>45259</v>
      </c>
      <c r="N102">
        <f>YEAR(Raw_Data[[#This Row],[join_date_UK]])</f>
        <v>2023</v>
      </c>
    </row>
    <row r="103" spans="1:14" x14ac:dyDescent="0.3">
      <c r="A103" t="s">
        <v>228</v>
      </c>
      <c r="B103" t="s">
        <v>26</v>
      </c>
      <c r="C103">
        <v>50</v>
      </c>
      <c r="D103" t="s">
        <v>23</v>
      </c>
      <c r="E103" t="s">
        <v>94</v>
      </c>
      <c r="F103">
        <v>8.5</v>
      </c>
      <c r="G103">
        <v>526</v>
      </c>
      <c r="H103">
        <v>0.1</v>
      </c>
      <c r="I103">
        <v>1</v>
      </c>
      <c r="J103">
        <v>1</v>
      </c>
      <c r="L103" t="s">
        <v>229</v>
      </c>
      <c r="M103" s="1">
        <v>44850</v>
      </c>
      <c r="N103">
        <f>YEAR(Raw_Data[[#This Row],[join_date_UK]])</f>
        <v>2022</v>
      </c>
    </row>
    <row r="104" spans="1:14" x14ac:dyDescent="0.3">
      <c r="A104" t="s">
        <v>230</v>
      </c>
      <c r="B104" t="s">
        <v>39</v>
      </c>
      <c r="C104">
        <v>13</v>
      </c>
      <c r="D104" t="s">
        <v>23</v>
      </c>
      <c r="E104" t="s">
        <v>94</v>
      </c>
      <c r="F104">
        <v>12.9</v>
      </c>
      <c r="G104">
        <v>509</v>
      </c>
      <c r="H104">
        <v>0.1</v>
      </c>
      <c r="I104">
        <v>1</v>
      </c>
      <c r="J104">
        <v>1</v>
      </c>
      <c r="K104">
        <v>12.99</v>
      </c>
      <c r="L104" t="s">
        <v>231</v>
      </c>
      <c r="M104" s="1">
        <v>44578</v>
      </c>
      <c r="N104">
        <f>YEAR(Raw_Data[[#This Row],[join_date_UK]])</f>
        <v>2022</v>
      </c>
    </row>
    <row r="105" spans="1:14" x14ac:dyDescent="0.3">
      <c r="A105" t="s">
        <v>232</v>
      </c>
      <c r="B105" t="s">
        <v>26</v>
      </c>
      <c r="C105">
        <v>63</v>
      </c>
      <c r="D105" t="s">
        <v>15</v>
      </c>
      <c r="E105" t="s">
        <v>94</v>
      </c>
      <c r="F105">
        <v>19.100000000000001</v>
      </c>
      <c r="G105">
        <v>477</v>
      </c>
      <c r="H105">
        <v>0.1</v>
      </c>
      <c r="I105">
        <v>1</v>
      </c>
      <c r="J105">
        <v>0</v>
      </c>
      <c r="K105">
        <v>9.99</v>
      </c>
      <c r="L105" t="s">
        <v>233</v>
      </c>
      <c r="M105" s="1">
        <v>45136</v>
      </c>
      <c r="N105">
        <f>YEAR(Raw_Data[[#This Row],[join_date_UK]])</f>
        <v>2023</v>
      </c>
    </row>
    <row r="106" spans="1:14" x14ac:dyDescent="0.3">
      <c r="A106" t="s">
        <v>234</v>
      </c>
      <c r="B106" t="s">
        <v>14</v>
      </c>
      <c r="C106">
        <v>17</v>
      </c>
      <c r="D106" t="s">
        <v>23</v>
      </c>
      <c r="E106" t="s">
        <v>94</v>
      </c>
      <c r="F106">
        <v>4.8</v>
      </c>
      <c r="G106">
        <v>501</v>
      </c>
      <c r="H106">
        <v>0.25</v>
      </c>
      <c r="I106">
        <v>1</v>
      </c>
      <c r="J106">
        <v>1</v>
      </c>
      <c r="K106">
        <v>12.99</v>
      </c>
      <c r="L106" t="s">
        <v>235</v>
      </c>
      <c r="M106" s="1">
        <v>45299</v>
      </c>
      <c r="N106">
        <f>YEAR(Raw_Data[[#This Row],[join_date_UK]])</f>
        <v>2024</v>
      </c>
    </row>
    <row r="107" spans="1:14" x14ac:dyDescent="0.3">
      <c r="A107" t="s">
        <v>236</v>
      </c>
      <c r="B107" t="s">
        <v>33</v>
      </c>
      <c r="C107">
        <v>59</v>
      </c>
      <c r="D107" t="s">
        <v>30</v>
      </c>
      <c r="E107" t="s">
        <v>94</v>
      </c>
      <c r="F107">
        <v>11.7</v>
      </c>
      <c r="G107">
        <v>495</v>
      </c>
      <c r="H107">
        <v>0.1</v>
      </c>
      <c r="I107">
        <v>1</v>
      </c>
      <c r="J107">
        <v>0</v>
      </c>
      <c r="K107">
        <v>5</v>
      </c>
      <c r="L107" t="s">
        <v>237</v>
      </c>
      <c r="M107" s="1">
        <v>45008</v>
      </c>
      <c r="N107">
        <f>YEAR(Raw_Data[[#This Row],[join_date_UK]])</f>
        <v>2023</v>
      </c>
    </row>
    <row r="108" spans="1:14" x14ac:dyDescent="0.3">
      <c r="A108" t="s">
        <v>238</v>
      </c>
      <c r="B108" t="s">
        <v>19</v>
      </c>
      <c r="C108">
        <v>19</v>
      </c>
      <c r="D108" t="s">
        <v>34</v>
      </c>
      <c r="E108" t="s">
        <v>94</v>
      </c>
      <c r="F108">
        <v>10</v>
      </c>
      <c r="G108">
        <v>472</v>
      </c>
      <c r="H108">
        <v>0.1</v>
      </c>
      <c r="I108">
        <v>1</v>
      </c>
      <c r="J108">
        <v>0</v>
      </c>
      <c r="K108">
        <v>7.99</v>
      </c>
      <c r="L108" t="s">
        <v>239</v>
      </c>
      <c r="M108" s="1">
        <v>44828</v>
      </c>
      <c r="N108">
        <f>YEAR(Raw_Data[[#This Row],[join_date_UK]])</f>
        <v>2022</v>
      </c>
    </row>
    <row r="109" spans="1:14" x14ac:dyDescent="0.3">
      <c r="A109" t="s">
        <v>240</v>
      </c>
      <c r="B109" t="s">
        <v>44</v>
      </c>
      <c r="C109">
        <v>23</v>
      </c>
      <c r="D109" t="s">
        <v>15</v>
      </c>
      <c r="E109" t="s">
        <v>94</v>
      </c>
      <c r="F109">
        <v>13.8</v>
      </c>
      <c r="G109">
        <v>519</v>
      </c>
      <c r="H109">
        <v>0.3</v>
      </c>
      <c r="I109">
        <v>1</v>
      </c>
      <c r="J109">
        <v>0</v>
      </c>
      <c r="L109" t="s">
        <v>88</v>
      </c>
      <c r="M109" s="1">
        <v>45052</v>
      </c>
      <c r="N109">
        <f>YEAR(Raw_Data[[#This Row],[join_date_UK]])</f>
        <v>2023</v>
      </c>
    </row>
    <row r="110" spans="1:14" x14ac:dyDescent="0.3">
      <c r="A110" t="s">
        <v>241</v>
      </c>
      <c r="B110" t="s">
        <v>44</v>
      </c>
      <c r="C110">
        <v>20</v>
      </c>
      <c r="D110" t="s">
        <v>23</v>
      </c>
      <c r="E110" t="s">
        <v>94</v>
      </c>
      <c r="F110">
        <v>15.2</v>
      </c>
      <c r="G110">
        <v>517</v>
      </c>
      <c r="H110">
        <v>0.1</v>
      </c>
      <c r="I110">
        <v>1</v>
      </c>
      <c r="J110">
        <v>0</v>
      </c>
      <c r="K110">
        <v>5</v>
      </c>
      <c r="L110" t="s">
        <v>242</v>
      </c>
      <c r="M110" s="1">
        <v>45433</v>
      </c>
      <c r="N110">
        <f>YEAR(Raw_Data[[#This Row],[join_date_UK]])</f>
        <v>2024</v>
      </c>
    </row>
    <row r="111" spans="1:14" x14ac:dyDescent="0.3">
      <c r="A111" t="s">
        <v>243</v>
      </c>
      <c r="B111" t="s">
        <v>39</v>
      </c>
      <c r="C111">
        <v>18</v>
      </c>
      <c r="D111" t="s">
        <v>15</v>
      </c>
      <c r="E111" t="s">
        <v>94</v>
      </c>
      <c r="F111">
        <v>0.5</v>
      </c>
      <c r="G111">
        <v>509</v>
      </c>
      <c r="H111">
        <v>0.05</v>
      </c>
      <c r="I111">
        <v>1</v>
      </c>
      <c r="J111">
        <v>0</v>
      </c>
      <c r="L111" t="s">
        <v>244</v>
      </c>
      <c r="M111" s="1">
        <v>45039</v>
      </c>
      <c r="N111">
        <f>YEAR(Raw_Data[[#This Row],[join_date_UK]])</f>
        <v>2023</v>
      </c>
    </row>
    <row r="112" spans="1:14" x14ac:dyDescent="0.3">
      <c r="A112" t="s">
        <v>245</v>
      </c>
      <c r="B112" t="s">
        <v>44</v>
      </c>
      <c r="C112">
        <v>42</v>
      </c>
      <c r="D112" t="s">
        <v>30</v>
      </c>
      <c r="E112" t="s">
        <v>94</v>
      </c>
      <c r="F112">
        <v>14.4</v>
      </c>
      <c r="G112">
        <v>491</v>
      </c>
      <c r="H112">
        <v>0.05</v>
      </c>
      <c r="I112">
        <v>1</v>
      </c>
      <c r="J112">
        <v>0</v>
      </c>
      <c r="K112">
        <v>9.99</v>
      </c>
      <c r="L112" t="s">
        <v>246</v>
      </c>
      <c r="M112" s="1">
        <v>45054</v>
      </c>
      <c r="N112">
        <f>YEAR(Raw_Data[[#This Row],[join_date_UK]])</f>
        <v>2023</v>
      </c>
    </row>
    <row r="113" spans="1:14" x14ac:dyDescent="0.3">
      <c r="A113" t="s">
        <v>247</v>
      </c>
      <c r="B113" t="s">
        <v>14</v>
      </c>
      <c r="C113">
        <v>30</v>
      </c>
      <c r="D113" t="s">
        <v>15</v>
      </c>
      <c r="E113" t="s">
        <v>94</v>
      </c>
      <c r="F113">
        <v>4.3</v>
      </c>
      <c r="G113">
        <v>500</v>
      </c>
      <c r="H113">
        <v>0.1</v>
      </c>
      <c r="I113">
        <v>1</v>
      </c>
      <c r="J113">
        <v>0</v>
      </c>
      <c r="K113">
        <v>9.99</v>
      </c>
      <c r="L113" t="s">
        <v>248</v>
      </c>
      <c r="M113" s="1">
        <v>45066</v>
      </c>
      <c r="N113">
        <f>YEAR(Raw_Data[[#This Row],[join_date_UK]])</f>
        <v>2023</v>
      </c>
    </row>
    <row r="114" spans="1:14" x14ac:dyDescent="0.3">
      <c r="A114" t="s">
        <v>249</v>
      </c>
      <c r="B114" t="s">
        <v>39</v>
      </c>
      <c r="C114">
        <v>38</v>
      </c>
      <c r="D114" t="s">
        <v>15</v>
      </c>
      <c r="E114" t="s">
        <v>94</v>
      </c>
      <c r="F114">
        <v>12.3</v>
      </c>
      <c r="G114">
        <v>500</v>
      </c>
      <c r="H114">
        <v>0.1</v>
      </c>
      <c r="I114">
        <v>1</v>
      </c>
      <c r="J114">
        <v>0</v>
      </c>
      <c r="K114">
        <v>7.99</v>
      </c>
      <c r="L114" t="s">
        <v>250</v>
      </c>
      <c r="M114" s="1">
        <v>45254</v>
      </c>
      <c r="N114">
        <f>YEAR(Raw_Data[[#This Row],[join_date_UK]])</f>
        <v>2023</v>
      </c>
    </row>
    <row r="115" spans="1:14" x14ac:dyDescent="0.3">
      <c r="A115" t="s">
        <v>251</v>
      </c>
      <c r="B115" t="s">
        <v>33</v>
      </c>
      <c r="C115">
        <v>30</v>
      </c>
      <c r="D115" t="s">
        <v>15</v>
      </c>
      <c r="E115" t="s">
        <v>94</v>
      </c>
      <c r="F115">
        <v>14.9</v>
      </c>
      <c r="G115">
        <v>494</v>
      </c>
      <c r="H115">
        <v>0.25</v>
      </c>
      <c r="I115">
        <v>1</v>
      </c>
      <c r="J115">
        <v>0</v>
      </c>
      <c r="K115">
        <v>12.99</v>
      </c>
      <c r="L115" t="s">
        <v>178</v>
      </c>
      <c r="M115" s="1">
        <v>45223</v>
      </c>
      <c r="N115">
        <f>YEAR(Raw_Data[[#This Row],[join_date_UK]])</f>
        <v>2023</v>
      </c>
    </row>
    <row r="116" spans="1:14" x14ac:dyDescent="0.3">
      <c r="A116" t="s">
        <v>252</v>
      </c>
      <c r="B116" t="s">
        <v>19</v>
      </c>
      <c r="C116">
        <v>43</v>
      </c>
      <c r="D116" t="s">
        <v>34</v>
      </c>
      <c r="E116" t="s">
        <v>94</v>
      </c>
      <c r="F116">
        <v>9.6</v>
      </c>
      <c r="G116">
        <v>531</v>
      </c>
      <c r="H116">
        <v>0.3</v>
      </c>
      <c r="I116">
        <v>1</v>
      </c>
      <c r="J116">
        <v>0</v>
      </c>
      <c r="K116">
        <v>7.99</v>
      </c>
      <c r="L116" t="s">
        <v>253</v>
      </c>
      <c r="M116" s="1">
        <v>45081</v>
      </c>
      <c r="N116">
        <f>YEAR(Raw_Data[[#This Row],[join_date_UK]])</f>
        <v>2023</v>
      </c>
    </row>
    <row r="117" spans="1:14" x14ac:dyDescent="0.3">
      <c r="A117" t="s">
        <v>254</v>
      </c>
      <c r="B117" t="s">
        <v>44</v>
      </c>
      <c r="C117">
        <v>36</v>
      </c>
      <c r="D117" t="s">
        <v>23</v>
      </c>
      <c r="E117" t="s">
        <v>94</v>
      </c>
      <c r="F117">
        <v>13.2</v>
      </c>
      <c r="G117">
        <v>479</v>
      </c>
      <c r="H117">
        <v>0.3</v>
      </c>
      <c r="I117">
        <v>1</v>
      </c>
      <c r="J117">
        <v>0</v>
      </c>
      <c r="K117">
        <v>7.99</v>
      </c>
      <c r="L117" t="s">
        <v>255</v>
      </c>
      <c r="M117" s="1">
        <v>45100</v>
      </c>
      <c r="N117">
        <f>YEAR(Raw_Data[[#This Row],[join_date_UK]])</f>
        <v>2023</v>
      </c>
    </row>
    <row r="118" spans="1:14" x14ac:dyDescent="0.3">
      <c r="A118" t="s">
        <v>256</v>
      </c>
      <c r="B118" t="s">
        <v>14</v>
      </c>
      <c r="C118">
        <v>60</v>
      </c>
      <c r="D118" t="s">
        <v>23</v>
      </c>
      <c r="E118" t="s">
        <v>94</v>
      </c>
      <c r="F118">
        <v>6.3</v>
      </c>
      <c r="G118">
        <v>510</v>
      </c>
      <c r="H118">
        <v>0.25</v>
      </c>
      <c r="I118">
        <v>1</v>
      </c>
      <c r="J118">
        <v>1</v>
      </c>
      <c r="L118" t="s">
        <v>212</v>
      </c>
      <c r="M118" s="1">
        <v>45099</v>
      </c>
      <c r="N118">
        <f>YEAR(Raw_Data[[#This Row],[join_date_UK]])</f>
        <v>2023</v>
      </c>
    </row>
    <row r="119" spans="1:14" x14ac:dyDescent="0.3">
      <c r="A119" t="s">
        <v>257</v>
      </c>
      <c r="B119" t="s">
        <v>19</v>
      </c>
      <c r="C119">
        <v>62</v>
      </c>
      <c r="D119" t="s">
        <v>34</v>
      </c>
      <c r="E119" t="s">
        <v>16</v>
      </c>
      <c r="F119">
        <v>12.5</v>
      </c>
      <c r="G119">
        <v>486</v>
      </c>
      <c r="H119">
        <v>0.15</v>
      </c>
      <c r="I119">
        <v>2</v>
      </c>
      <c r="J119">
        <v>0</v>
      </c>
      <c r="K119">
        <v>5</v>
      </c>
      <c r="L119" t="s">
        <v>258</v>
      </c>
      <c r="M119" s="1">
        <v>45249</v>
      </c>
      <c r="N119">
        <f>YEAR(Raw_Data[[#This Row],[join_date_UK]])</f>
        <v>2023</v>
      </c>
    </row>
    <row r="120" spans="1:14" x14ac:dyDescent="0.3">
      <c r="A120" t="s">
        <v>259</v>
      </c>
      <c r="B120" t="s">
        <v>39</v>
      </c>
      <c r="C120">
        <v>59</v>
      </c>
      <c r="D120" t="s">
        <v>15</v>
      </c>
      <c r="E120" t="s">
        <v>16</v>
      </c>
      <c r="F120">
        <v>7.5</v>
      </c>
      <c r="G120">
        <v>538</v>
      </c>
      <c r="H120">
        <v>0.1</v>
      </c>
      <c r="I120">
        <v>2</v>
      </c>
      <c r="J120">
        <v>1</v>
      </c>
      <c r="K120">
        <v>7.99</v>
      </c>
      <c r="L120" t="s">
        <v>260</v>
      </c>
      <c r="M120" s="1">
        <v>45403</v>
      </c>
      <c r="N120">
        <f>YEAR(Raw_Data[[#This Row],[join_date_UK]])</f>
        <v>2024</v>
      </c>
    </row>
    <row r="121" spans="1:14" x14ac:dyDescent="0.3">
      <c r="A121" t="s">
        <v>261</v>
      </c>
      <c r="B121" t="s">
        <v>39</v>
      </c>
      <c r="C121">
        <v>34</v>
      </c>
      <c r="D121" t="s">
        <v>30</v>
      </c>
      <c r="E121" t="s">
        <v>16</v>
      </c>
      <c r="F121">
        <v>6.9</v>
      </c>
      <c r="G121">
        <v>467</v>
      </c>
      <c r="H121">
        <v>0.05</v>
      </c>
      <c r="I121">
        <v>2</v>
      </c>
      <c r="J121">
        <v>0</v>
      </c>
      <c r="K121">
        <v>5</v>
      </c>
      <c r="L121" t="s">
        <v>262</v>
      </c>
      <c r="M121" s="1">
        <v>44740</v>
      </c>
      <c r="N121">
        <f>YEAR(Raw_Data[[#This Row],[join_date_UK]])</f>
        <v>2022</v>
      </c>
    </row>
    <row r="122" spans="1:14" x14ac:dyDescent="0.3">
      <c r="A122" t="s">
        <v>15</v>
      </c>
      <c r="B122" t="s">
        <v>22</v>
      </c>
      <c r="C122">
        <v>37</v>
      </c>
      <c r="D122" t="s">
        <v>23</v>
      </c>
      <c r="E122" t="s">
        <v>16</v>
      </c>
      <c r="F122">
        <v>0.2</v>
      </c>
      <c r="G122">
        <v>503</v>
      </c>
      <c r="H122">
        <v>0.1</v>
      </c>
      <c r="I122">
        <v>2</v>
      </c>
      <c r="J122">
        <v>1</v>
      </c>
      <c r="K122">
        <v>12.99</v>
      </c>
      <c r="L122" t="s">
        <v>263</v>
      </c>
      <c r="M122" s="1">
        <v>44790</v>
      </c>
      <c r="N122">
        <f>YEAR(Raw_Data[[#This Row],[join_date_UK]])</f>
        <v>2022</v>
      </c>
    </row>
    <row r="123" spans="1:14" x14ac:dyDescent="0.3">
      <c r="A123" t="s">
        <v>264</v>
      </c>
      <c r="B123" t="s">
        <v>29</v>
      </c>
      <c r="C123">
        <v>52</v>
      </c>
      <c r="D123" t="s">
        <v>34</v>
      </c>
      <c r="E123" t="s">
        <v>16</v>
      </c>
      <c r="F123">
        <v>8.9</v>
      </c>
      <c r="G123">
        <v>475</v>
      </c>
      <c r="H123">
        <v>0.1</v>
      </c>
      <c r="I123">
        <v>2</v>
      </c>
      <c r="J123">
        <v>0</v>
      </c>
      <c r="K123">
        <v>9.99</v>
      </c>
      <c r="L123" t="s">
        <v>265</v>
      </c>
      <c r="M123" s="1">
        <v>44653</v>
      </c>
      <c r="N123">
        <f>YEAR(Raw_Data[[#This Row],[join_date_UK]])</f>
        <v>2022</v>
      </c>
    </row>
    <row r="124" spans="1:14" x14ac:dyDescent="0.3">
      <c r="A124" t="s">
        <v>266</v>
      </c>
      <c r="B124" t="s">
        <v>22</v>
      </c>
      <c r="C124">
        <v>31</v>
      </c>
      <c r="D124" t="s">
        <v>34</v>
      </c>
      <c r="E124" t="s">
        <v>16</v>
      </c>
      <c r="F124">
        <v>4.0999999999999996</v>
      </c>
      <c r="G124">
        <v>450</v>
      </c>
      <c r="H124">
        <v>0.3</v>
      </c>
      <c r="I124">
        <v>2</v>
      </c>
      <c r="J124">
        <v>0</v>
      </c>
      <c r="L124" t="s">
        <v>146</v>
      </c>
      <c r="M124" s="1">
        <v>45154</v>
      </c>
      <c r="N124">
        <f>YEAR(Raw_Data[[#This Row],[join_date_UK]])</f>
        <v>2023</v>
      </c>
    </row>
    <row r="125" spans="1:14" x14ac:dyDescent="0.3">
      <c r="A125" t="s">
        <v>267</v>
      </c>
      <c r="B125" t="s">
        <v>14</v>
      </c>
      <c r="C125">
        <v>44</v>
      </c>
      <c r="D125" t="s">
        <v>15</v>
      </c>
      <c r="E125" t="s">
        <v>16</v>
      </c>
      <c r="F125">
        <v>9</v>
      </c>
      <c r="G125">
        <v>514</v>
      </c>
      <c r="H125">
        <v>0.15</v>
      </c>
      <c r="I125">
        <v>2</v>
      </c>
      <c r="J125">
        <v>1</v>
      </c>
      <c r="K125">
        <v>9.99</v>
      </c>
      <c r="L125" t="s">
        <v>268</v>
      </c>
      <c r="M125" s="1">
        <v>45210</v>
      </c>
      <c r="N125">
        <f>YEAR(Raw_Data[[#This Row],[join_date_UK]])</f>
        <v>2023</v>
      </c>
    </row>
    <row r="126" spans="1:14" x14ac:dyDescent="0.3">
      <c r="A126" t="s">
        <v>269</v>
      </c>
      <c r="B126" t="s">
        <v>44</v>
      </c>
      <c r="C126">
        <v>45</v>
      </c>
      <c r="D126" t="s">
        <v>34</v>
      </c>
      <c r="E126" t="s">
        <v>16</v>
      </c>
      <c r="F126">
        <v>11.4</v>
      </c>
      <c r="G126">
        <v>499</v>
      </c>
      <c r="H126">
        <v>0.05</v>
      </c>
      <c r="I126">
        <v>2</v>
      </c>
      <c r="J126">
        <v>0</v>
      </c>
      <c r="K126">
        <v>9.99</v>
      </c>
      <c r="L126" t="s">
        <v>270</v>
      </c>
      <c r="M126" s="1">
        <v>45057</v>
      </c>
      <c r="N126">
        <f>YEAR(Raw_Data[[#This Row],[join_date_UK]])</f>
        <v>2023</v>
      </c>
    </row>
    <row r="127" spans="1:14" x14ac:dyDescent="0.3">
      <c r="A127" t="s">
        <v>271</v>
      </c>
      <c r="B127" t="s">
        <v>39</v>
      </c>
      <c r="C127">
        <v>60</v>
      </c>
      <c r="D127" t="s">
        <v>34</v>
      </c>
      <c r="E127" t="s">
        <v>16</v>
      </c>
      <c r="F127">
        <v>5.2</v>
      </c>
      <c r="G127">
        <v>491</v>
      </c>
      <c r="H127">
        <v>0.1</v>
      </c>
      <c r="I127">
        <v>2</v>
      </c>
      <c r="J127">
        <v>0</v>
      </c>
      <c r="K127">
        <v>5</v>
      </c>
      <c r="L127" t="s">
        <v>272</v>
      </c>
      <c r="M127" s="1">
        <v>45290</v>
      </c>
      <c r="N127">
        <f>YEAR(Raw_Data[[#This Row],[join_date_UK]])</f>
        <v>2023</v>
      </c>
    </row>
    <row r="128" spans="1:14" x14ac:dyDescent="0.3">
      <c r="A128" t="s">
        <v>273</v>
      </c>
      <c r="B128" t="s">
        <v>26</v>
      </c>
      <c r="C128">
        <v>38</v>
      </c>
      <c r="D128" t="s">
        <v>15</v>
      </c>
      <c r="E128" t="s">
        <v>16</v>
      </c>
      <c r="F128">
        <v>9.1999999999999993</v>
      </c>
      <c r="G128">
        <v>477</v>
      </c>
      <c r="H128">
        <v>0.3</v>
      </c>
      <c r="I128">
        <v>2</v>
      </c>
      <c r="J128">
        <v>0</v>
      </c>
      <c r="K128">
        <v>9.99</v>
      </c>
      <c r="L128" t="s">
        <v>274</v>
      </c>
      <c r="M128" s="1">
        <v>45116</v>
      </c>
      <c r="N128">
        <f>YEAR(Raw_Data[[#This Row],[join_date_UK]])</f>
        <v>2023</v>
      </c>
    </row>
    <row r="129" spans="1:14" x14ac:dyDescent="0.3">
      <c r="A129" t="s">
        <v>275</v>
      </c>
      <c r="B129" t="s">
        <v>33</v>
      </c>
      <c r="C129">
        <v>20</v>
      </c>
      <c r="D129" t="s">
        <v>23</v>
      </c>
      <c r="E129" t="s">
        <v>16</v>
      </c>
      <c r="F129">
        <v>6.6</v>
      </c>
      <c r="G129">
        <v>496</v>
      </c>
      <c r="H129">
        <v>0.1</v>
      </c>
      <c r="I129">
        <v>2</v>
      </c>
      <c r="J129">
        <v>0</v>
      </c>
      <c r="K129">
        <v>9.99</v>
      </c>
      <c r="L129" t="s">
        <v>276</v>
      </c>
      <c r="M129" s="1">
        <v>45292</v>
      </c>
      <c r="N129">
        <f>YEAR(Raw_Data[[#This Row],[join_date_UK]])</f>
        <v>2024</v>
      </c>
    </row>
    <row r="130" spans="1:14" x14ac:dyDescent="0.3">
      <c r="A130" t="s">
        <v>277</v>
      </c>
      <c r="B130" t="s">
        <v>26</v>
      </c>
      <c r="C130">
        <v>46</v>
      </c>
      <c r="D130" t="s">
        <v>30</v>
      </c>
      <c r="E130" t="s">
        <v>16</v>
      </c>
      <c r="F130">
        <v>5.7</v>
      </c>
      <c r="G130">
        <v>477</v>
      </c>
      <c r="H130">
        <v>0.1</v>
      </c>
      <c r="I130">
        <v>2</v>
      </c>
      <c r="J130">
        <v>1</v>
      </c>
      <c r="K130">
        <v>7.99</v>
      </c>
      <c r="L130" t="s">
        <v>278</v>
      </c>
      <c r="M130" s="1">
        <v>45044</v>
      </c>
      <c r="N130">
        <f>YEAR(Raw_Data[[#This Row],[join_date_UK]])</f>
        <v>2023</v>
      </c>
    </row>
    <row r="131" spans="1:14" x14ac:dyDescent="0.3">
      <c r="A131" t="s">
        <v>279</v>
      </c>
      <c r="B131" t="s">
        <v>19</v>
      </c>
      <c r="C131">
        <v>35</v>
      </c>
      <c r="D131" t="s">
        <v>23</v>
      </c>
      <c r="E131" t="s">
        <v>16</v>
      </c>
      <c r="F131">
        <v>13</v>
      </c>
      <c r="G131">
        <v>532</v>
      </c>
      <c r="H131">
        <v>0.1</v>
      </c>
      <c r="I131">
        <v>2</v>
      </c>
      <c r="J131">
        <v>1</v>
      </c>
      <c r="K131">
        <v>9.99</v>
      </c>
      <c r="L131" t="s">
        <v>280</v>
      </c>
      <c r="M131" s="1">
        <v>45246</v>
      </c>
      <c r="N131">
        <f>YEAR(Raw_Data[[#This Row],[join_date_UK]])</f>
        <v>2023</v>
      </c>
    </row>
    <row r="132" spans="1:14" x14ac:dyDescent="0.3">
      <c r="A132" t="s">
        <v>281</v>
      </c>
      <c r="B132" t="s">
        <v>22</v>
      </c>
      <c r="C132">
        <v>48</v>
      </c>
      <c r="D132" t="s">
        <v>34</v>
      </c>
      <c r="E132" t="s">
        <v>16</v>
      </c>
      <c r="F132">
        <v>12.6</v>
      </c>
      <c r="G132">
        <v>498</v>
      </c>
      <c r="H132">
        <v>0.3</v>
      </c>
      <c r="I132">
        <v>2</v>
      </c>
      <c r="J132">
        <v>1</v>
      </c>
      <c r="L132" t="s">
        <v>86</v>
      </c>
      <c r="M132" s="1">
        <v>45436</v>
      </c>
      <c r="N132">
        <f>YEAR(Raw_Data[[#This Row],[join_date_UK]])</f>
        <v>2024</v>
      </c>
    </row>
    <row r="133" spans="1:14" x14ac:dyDescent="0.3">
      <c r="A133" t="s">
        <v>282</v>
      </c>
      <c r="B133" t="s">
        <v>73</v>
      </c>
      <c r="C133">
        <v>46</v>
      </c>
      <c r="D133" t="s">
        <v>34</v>
      </c>
      <c r="E133" t="s">
        <v>16</v>
      </c>
      <c r="F133">
        <v>15.8</v>
      </c>
      <c r="G133">
        <v>494</v>
      </c>
      <c r="H133">
        <v>0.3</v>
      </c>
      <c r="I133">
        <v>2</v>
      </c>
      <c r="J133">
        <v>0</v>
      </c>
      <c r="K133">
        <v>9.99</v>
      </c>
      <c r="L133" t="s">
        <v>283</v>
      </c>
      <c r="M133" s="1">
        <v>45378</v>
      </c>
      <c r="N133">
        <f>YEAR(Raw_Data[[#This Row],[join_date_UK]])</f>
        <v>2024</v>
      </c>
    </row>
    <row r="134" spans="1:14" x14ac:dyDescent="0.3">
      <c r="A134" t="s">
        <v>284</v>
      </c>
      <c r="B134" t="s">
        <v>33</v>
      </c>
      <c r="C134">
        <v>23</v>
      </c>
      <c r="D134" t="s">
        <v>34</v>
      </c>
      <c r="E134" t="s">
        <v>16</v>
      </c>
      <c r="F134">
        <v>9.8000000000000007</v>
      </c>
      <c r="G134">
        <v>496</v>
      </c>
      <c r="H134">
        <v>0.25</v>
      </c>
      <c r="I134">
        <v>2</v>
      </c>
      <c r="J134">
        <v>1</v>
      </c>
      <c r="K134">
        <v>7.99</v>
      </c>
      <c r="L134" t="s">
        <v>285</v>
      </c>
      <c r="M134" s="1">
        <v>44746</v>
      </c>
      <c r="N134">
        <f>YEAR(Raw_Data[[#This Row],[join_date_UK]])</f>
        <v>2022</v>
      </c>
    </row>
    <row r="135" spans="1:14" x14ac:dyDescent="0.3">
      <c r="A135" t="s">
        <v>286</v>
      </c>
      <c r="B135" t="s">
        <v>29</v>
      </c>
      <c r="C135">
        <v>33</v>
      </c>
      <c r="D135" t="s">
        <v>34</v>
      </c>
      <c r="E135" t="s">
        <v>16</v>
      </c>
      <c r="F135">
        <v>5.9</v>
      </c>
      <c r="G135">
        <v>492</v>
      </c>
      <c r="H135">
        <v>0.1</v>
      </c>
      <c r="I135">
        <v>2</v>
      </c>
      <c r="J135">
        <v>1</v>
      </c>
      <c r="K135">
        <v>12.99</v>
      </c>
      <c r="L135" t="s">
        <v>287</v>
      </c>
      <c r="M135" s="1">
        <v>45473</v>
      </c>
      <c r="N135">
        <f>YEAR(Raw_Data[[#This Row],[join_date_UK]])</f>
        <v>2024</v>
      </c>
    </row>
    <row r="136" spans="1:14" x14ac:dyDescent="0.3">
      <c r="A136" t="s">
        <v>288</v>
      </c>
      <c r="B136" t="s">
        <v>39</v>
      </c>
      <c r="C136">
        <v>30</v>
      </c>
      <c r="D136" t="s">
        <v>34</v>
      </c>
      <c r="E136" t="s">
        <v>16</v>
      </c>
      <c r="F136">
        <v>0.5</v>
      </c>
      <c r="G136">
        <v>511</v>
      </c>
      <c r="H136">
        <v>0.05</v>
      </c>
      <c r="I136">
        <v>2</v>
      </c>
      <c r="J136">
        <v>0</v>
      </c>
      <c r="K136">
        <v>9.99</v>
      </c>
      <c r="L136" t="s">
        <v>289</v>
      </c>
      <c r="M136" s="1">
        <v>44691</v>
      </c>
      <c r="N136">
        <f>YEAR(Raw_Data[[#This Row],[join_date_UK]])</f>
        <v>2022</v>
      </c>
    </row>
    <row r="137" spans="1:14" x14ac:dyDescent="0.3">
      <c r="A137" t="s">
        <v>290</v>
      </c>
      <c r="B137" t="s">
        <v>39</v>
      </c>
      <c r="C137">
        <v>26</v>
      </c>
      <c r="D137" t="s">
        <v>15</v>
      </c>
      <c r="E137" t="s">
        <v>16</v>
      </c>
      <c r="F137">
        <v>7.1</v>
      </c>
      <c r="G137">
        <v>505</v>
      </c>
      <c r="H137">
        <v>0.2</v>
      </c>
      <c r="I137">
        <v>2</v>
      </c>
      <c r="J137">
        <v>1</v>
      </c>
      <c r="K137">
        <v>7.99</v>
      </c>
      <c r="L137" t="s">
        <v>291</v>
      </c>
      <c r="M137" s="1">
        <v>44602</v>
      </c>
      <c r="N137">
        <f>YEAR(Raw_Data[[#This Row],[join_date_UK]])</f>
        <v>2022</v>
      </c>
    </row>
    <row r="138" spans="1:14" x14ac:dyDescent="0.3">
      <c r="A138" t="s">
        <v>292</v>
      </c>
      <c r="B138" t="s">
        <v>19</v>
      </c>
      <c r="C138">
        <v>31</v>
      </c>
      <c r="D138" t="s">
        <v>34</v>
      </c>
      <c r="E138" t="s">
        <v>16</v>
      </c>
      <c r="F138">
        <v>2</v>
      </c>
      <c r="G138">
        <v>554</v>
      </c>
      <c r="H138">
        <v>0.2</v>
      </c>
      <c r="I138">
        <v>2</v>
      </c>
      <c r="J138">
        <v>0</v>
      </c>
      <c r="K138">
        <v>5</v>
      </c>
      <c r="L138" t="s">
        <v>293</v>
      </c>
      <c r="M138" s="1">
        <v>45097</v>
      </c>
      <c r="N138">
        <f>YEAR(Raw_Data[[#This Row],[join_date_UK]])</f>
        <v>2023</v>
      </c>
    </row>
    <row r="139" spans="1:14" x14ac:dyDescent="0.3">
      <c r="A139" t="s">
        <v>294</v>
      </c>
      <c r="B139" t="s">
        <v>39</v>
      </c>
      <c r="C139">
        <v>22</v>
      </c>
      <c r="D139" t="s">
        <v>34</v>
      </c>
      <c r="E139" t="s">
        <v>16</v>
      </c>
      <c r="F139">
        <v>8.6999999999999993</v>
      </c>
      <c r="G139">
        <v>533</v>
      </c>
      <c r="H139">
        <v>0.1</v>
      </c>
      <c r="I139">
        <v>2</v>
      </c>
      <c r="J139">
        <v>1</v>
      </c>
      <c r="K139">
        <v>12.99</v>
      </c>
      <c r="L139" t="s">
        <v>295</v>
      </c>
      <c r="M139" s="1">
        <v>44683</v>
      </c>
      <c r="N139">
        <f>YEAR(Raw_Data[[#This Row],[join_date_UK]])</f>
        <v>2022</v>
      </c>
    </row>
    <row r="140" spans="1:14" x14ac:dyDescent="0.3">
      <c r="A140" t="s">
        <v>296</v>
      </c>
      <c r="B140" t="s">
        <v>44</v>
      </c>
      <c r="C140">
        <v>36</v>
      </c>
      <c r="D140" t="s">
        <v>34</v>
      </c>
      <c r="E140" t="s">
        <v>16</v>
      </c>
      <c r="F140">
        <v>12</v>
      </c>
      <c r="G140">
        <v>481</v>
      </c>
      <c r="H140">
        <v>0.1</v>
      </c>
      <c r="I140">
        <v>2</v>
      </c>
      <c r="J140">
        <v>0</v>
      </c>
      <c r="K140">
        <v>7.99</v>
      </c>
      <c r="L140" t="s">
        <v>297</v>
      </c>
      <c r="M140" s="1">
        <v>44758</v>
      </c>
      <c r="N140">
        <f>YEAR(Raw_Data[[#This Row],[join_date_UK]])</f>
        <v>2022</v>
      </c>
    </row>
    <row r="141" spans="1:14" x14ac:dyDescent="0.3">
      <c r="A141" t="s">
        <v>298</v>
      </c>
      <c r="B141" t="s">
        <v>22</v>
      </c>
      <c r="C141">
        <v>44</v>
      </c>
      <c r="D141" t="s">
        <v>23</v>
      </c>
      <c r="E141" t="s">
        <v>16</v>
      </c>
      <c r="F141">
        <v>12.1</v>
      </c>
      <c r="G141">
        <v>464</v>
      </c>
      <c r="H141">
        <v>0.1</v>
      </c>
      <c r="I141">
        <v>2</v>
      </c>
      <c r="J141">
        <v>0</v>
      </c>
      <c r="L141" t="s">
        <v>299</v>
      </c>
      <c r="M141" s="1">
        <v>44837</v>
      </c>
      <c r="N141">
        <f>YEAR(Raw_Data[[#This Row],[join_date_UK]])</f>
        <v>2022</v>
      </c>
    </row>
    <row r="142" spans="1:14" x14ac:dyDescent="0.3">
      <c r="A142" t="s">
        <v>300</v>
      </c>
      <c r="B142" t="s">
        <v>73</v>
      </c>
      <c r="C142">
        <v>26</v>
      </c>
      <c r="D142" t="s">
        <v>34</v>
      </c>
      <c r="E142" t="s">
        <v>16</v>
      </c>
      <c r="F142">
        <v>17.100000000000001</v>
      </c>
      <c r="G142">
        <v>485</v>
      </c>
      <c r="H142">
        <v>0.1</v>
      </c>
      <c r="I142">
        <v>2</v>
      </c>
      <c r="J142">
        <v>0</v>
      </c>
      <c r="K142">
        <v>9.99</v>
      </c>
      <c r="L142" t="s">
        <v>150</v>
      </c>
      <c r="M142" s="1">
        <v>44633</v>
      </c>
      <c r="N142">
        <f>YEAR(Raw_Data[[#This Row],[join_date_UK]])</f>
        <v>2022</v>
      </c>
    </row>
    <row r="143" spans="1:14" x14ac:dyDescent="0.3">
      <c r="A143" t="s">
        <v>301</v>
      </c>
      <c r="B143" t="s">
        <v>26</v>
      </c>
      <c r="C143">
        <v>62</v>
      </c>
      <c r="D143" t="s">
        <v>34</v>
      </c>
      <c r="E143" t="s">
        <v>16</v>
      </c>
      <c r="F143">
        <v>13</v>
      </c>
      <c r="G143">
        <v>475</v>
      </c>
      <c r="H143">
        <v>0.15</v>
      </c>
      <c r="I143">
        <v>2</v>
      </c>
      <c r="J143">
        <v>0</v>
      </c>
      <c r="K143">
        <v>9.99</v>
      </c>
      <c r="L143" t="s">
        <v>76</v>
      </c>
      <c r="M143" s="1">
        <v>45531</v>
      </c>
      <c r="N143">
        <f>YEAR(Raw_Data[[#This Row],[join_date_UK]])</f>
        <v>2024</v>
      </c>
    </row>
    <row r="144" spans="1:14" x14ac:dyDescent="0.3">
      <c r="A144" t="s">
        <v>302</v>
      </c>
      <c r="B144" t="s">
        <v>19</v>
      </c>
      <c r="C144">
        <v>26</v>
      </c>
      <c r="D144" t="s">
        <v>34</v>
      </c>
      <c r="E144" t="s">
        <v>16</v>
      </c>
      <c r="F144">
        <v>9.3000000000000007</v>
      </c>
      <c r="G144">
        <v>496</v>
      </c>
      <c r="H144">
        <v>0.3</v>
      </c>
      <c r="I144">
        <v>2</v>
      </c>
      <c r="J144">
        <v>1</v>
      </c>
      <c r="L144" t="s">
        <v>303</v>
      </c>
      <c r="M144" s="1">
        <v>44867</v>
      </c>
      <c r="N144">
        <f>YEAR(Raw_Data[[#This Row],[join_date_UK]])</f>
        <v>2022</v>
      </c>
    </row>
    <row r="145" spans="1:14" x14ac:dyDescent="0.3">
      <c r="A145" t="s">
        <v>304</v>
      </c>
      <c r="B145" t="s">
        <v>39</v>
      </c>
      <c r="C145">
        <v>48</v>
      </c>
      <c r="D145" t="s">
        <v>34</v>
      </c>
      <c r="E145" t="s">
        <v>53</v>
      </c>
      <c r="F145">
        <v>6.7</v>
      </c>
      <c r="G145">
        <v>485</v>
      </c>
      <c r="H145">
        <v>0.15</v>
      </c>
      <c r="I145">
        <v>2</v>
      </c>
      <c r="J145">
        <v>0</v>
      </c>
      <c r="K145">
        <v>0</v>
      </c>
      <c r="L145" t="s">
        <v>305</v>
      </c>
      <c r="M145" s="1">
        <v>44978</v>
      </c>
      <c r="N145">
        <f>YEAR(Raw_Data[[#This Row],[join_date_UK]])</f>
        <v>2023</v>
      </c>
    </row>
    <row r="146" spans="1:14" x14ac:dyDescent="0.3">
      <c r="A146" t="s">
        <v>306</v>
      </c>
      <c r="B146" t="s">
        <v>14</v>
      </c>
      <c r="C146">
        <v>37</v>
      </c>
      <c r="D146" t="s">
        <v>23</v>
      </c>
      <c r="E146" t="s">
        <v>53</v>
      </c>
      <c r="F146">
        <v>3.9</v>
      </c>
      <c r="G146">
        <v>500</v>
      </c>
      <c r="H146">
        <v>0.2</v>
      </c>
      <c r="I146">
        <v>2</v>
      </c>
      <c r="J146">
        <v>1</v>
      </c>
      <c r="K146">
        <v>0</v>
      </c>
      <c r="L146" t="s">
        <v>307</v>
      </c>
      <c r="M146" s="1">
        <v>45013</v>
      </c>
      <c r="N146">
        <f>YEAR(Raw_Data[[#This Row],[join_date_UK]])</f>
        <v>2023</v>
      </c>
    </row>
    <row r="147" spans="1:14" x14ac:dyDescent="0.3">
      <c r="A147" t="s">
        <v>308</v>
      </c>
      <c r="B147" t="s">
        <v>22</v>
      </c>
      <c r="C147">
        <v>39</v>
      </c>
      <c r="D147" t="s">
        <v>15</v>
      </c>
      <c r="E147" t="s">
        <v>53</v>
      </c>
      <c r="F147">
        <v>10.7</v>
      </c>
      <c r="G147">
        <v>531</v>
      </c>
      <c r="H147">
        <v>0.25</v>
      </c>
      <c r="I147">
        <v>2</v>
      </c>
      <c r="J147">
        <v>1</v>
      </c>
      <c r="K147">
        <v>0</v>
      </c>
      <c r="L147" t="s">
        <v>309</v>
      </c>
      <c r="M147" s="1">
        <v>45279</v>
      </c>
      <c r="N147">
        <f>YEAR(Raw_Data[[#This Row],[join_date_UK]])</f>
        <v>2023</v>
      </c>
    </row>
    <row r="148" spans="1:14" x14ac:dyDescent="0.3">
      <c r="A148" t="s">
        <v>310</v>
      </c>
      <c r="B148" t="s">
        <v>44</v>
      </c>
      <c r="C148">
        <v>17</v>
      </c>
      <c r="D148" t="s">
        <v>34</v>
      </c>
      <c r="E148" t="s">
        <v>53</v>
      </c>
      <c r="F148">
        <v>11.5</v>
      </c>
      <c r="G148">
        <v>512</v>
      </c>
      <c r="H148">
        <v>0.3</v>
      </c>
      <c r="I148">
        <v>2</v>
      </c>
      <c r="J148">
        <v>1</v>
      </c>
      <c r="K148">
        <v>0</v>
      </c>
      <c r="L148" t="s">
        <v>311</v>
      </c>
      <c r="M148" s="1">
        <v>45322</v>
      </c>
      <c r="N148">
        <f>YEAR(Raw_Data[[#This Row],[join_date_UK]])</f>
        <v>2024</v>
      </c>
    </row>
    <row r="149" spans="1:14" x14ac:dyDescent="0.3">
      <c r="A149" t="s">
        <v>312</v>
      </c>
      <c r="B149" t="s">
        <v>19</v>
      </c>
      <c r="C149">
        <v>26</v>
      </c>
      <c r="D149" t="s">
        <v>34</v>
      </c>
      <c r="E149" t="s">
        <v>53</v>
      </c>
      <c r="F149">
        <v>7.9</v>
      </c>
      <c r="G149">
        <v>495</v>
      </c>
      <c r="H149">
        <v>0.2</v>
      </c>
      <c r="I149">
        <v>2</v>
      </c>
      <c r="J149">
        <v>0</v>
      </c>
      <c r="K149">
        <v>0</v>
      </c>
      <c r="L149" t="s">
        <v>313</v>
      </c>
      <c r="M149" s="1">
        <v>44576</v>
      </c>
      <c r="N149">
        <f>YEAR(Raw_Data[[#This Row],[join_date_UK]])</f>
        <v>2022</v>
      </c>
    </row>
    <row r="150" spans="1:14" x14ac:dyDescent="0.3">
      <c r="A150" t="s">
        <v>314</v>
      </c>
      <c r="B150" t="s">
        <v>26</v>
      </c>
      <c r="C150">
        <v>54</v>
      </c>
      <c r="D150" t="s">
        <v>15</v>
      </c>
      <c r="E150" t="s">
        <v>53</v>
      </c>
      <c r="F150">
        <v>6</v>
      </c>
      <c r="G150">
        <v>480</v>
      </c>
      <c r="H150">
        <v>0.2</v>
      </c>
      <c r="I150">
        <v>2</v>
      </c>
      <c r="J150">
        <v>0</v>
      </c>
      <c r="K150">
        <v>0</v>
      </c>
      <c r="L150" t="s">
        <v>315</v>
      </c>
      <c r="M150" s="1">
        <v>45505</v>
      </c>
      <c r="N150">
        <f>YEAR(Raw_Data[[#This Row],[join_date_UK]])</f>
        <v>2024</v>
      </c>
    </row>
    <row r="151" spans="1:14" x14ac:dyDescent="0.3">
      <c r="A151" t="s">
        <v>316</v>
      </c>
      <c r="B151" t="s">
        <v>39</v>
      </c>
      <c r="C151">
        <v>59</v>
      </c>
      <c r="D151" t="s">
        <v>23</v>
      </c>
      <c r="E151" t="s">
        <v>53</v>
      </c>
      <c r="F151">
        <v>14.2</v>
      </c>
      <c r="G151">
        <v>514</v>
      </c>
      <c r="H151">
        <v>0.2</v>
      </c>
      <c r="I151">
        <v>2</v>
      </c>
      <c r="J151">
        <v>0</v>
      </c>
      <c r="K151">
        <v>0</v>
      </c>
      <c r="L151" t="s">
        <v>317</v>
      </c>
      <c r="M151" s="1">
        <v>44980</v>
      </c>
      <c r="N151">
        <f>YEAR(Raw_Data[[#This Row],[join_date_UK]])</f>
        <v>2023</v>
      </c>
    </row>
    <row r="152" spans="1:14" x14ac:dyDescent="0.3">
      <c r="A152" t="s">
        <v>318</v>
      </c>
      <c r="B152" t="s">
        <v>29</v>
      </c>
      <c r="C152">
        <v>62</v>
      </c>
      <c r="D152" t="s">
        <v>23</v>
      </c>
      <c r="E152" t="s">
        <v>53</v>
      </c>
      <c r="F152">
        <v>7.7</v>
      </c>
      <c r="G152">
        <v>511</v>
      </c>
      <c r="H152">
        <v>0.2</v>
      </c>
      <c r="I152">
        <v>2</v>
      </c>
      <c r="J152">
        <v>0</v>
      </c>
      <c r="K152">
        <v>0</v>
      </c>
      <c r="L152" t="s">
        <v>319</v>
      </c>
      <c r="M152" s="1">
        <v>44840</v>
      </c>
      <c r="N152">
        <f>YEAR(Raw_Data[[#This Row],[join_date_UK]])</f>
        <v>2022</v>
      </c>
    </row>
    <row r="153" spans="1:14" x14ac:dyDescent="0.3">
      <c r="A153" t="s">
        <v>320</v>
      </c>
      <c r="B153" t="s">
        <v>39</v>
      </c>
      <c r="C153">
        <v>53</v>
      </c>
      <c r="D153" t="s">
        <v>30</v>
      </c>
      <c r="E153" t="s">
        <v>53</v>
      </c>
      <c r="F153">
        <v>10.3</v>
      </c>
      <c r="G153">
        <v>536</v>
      </c>
      <c r="H153">
        <v>0.2</v>
      </c>
      <c r="I153">
        <v>2</v>
      </c>
      <c r="J153">
        <v>1</v>
      </c>
      <c r="K153">
        <v>0</v>
      </c>
      <c r="L153" t="s">
        <v>321</v>
      </c>
      <c r="M153" s="1">
        <v>45140</v>
      </c>
      <c r="N153">
        <f>YEAR(Raw_Data[[#This Row],[join_date_UK]])</f>
        <v>2023</v>
      </c>
    </row>
    <row r="154" spans="1:14" x14ac:dyDescent="0.3">
      <c r="A154" t="s">
        <v>322</v>
      </c>
      <c r="B154" t="s">
        <v>14</v>
      </c>
      <c r="C154">
        <v>32</v>
      </c>
      <c r="D154" t="s">
        <v>34</v>
      </c>
      <c r="E154" t="s">
        <v>53</v>
      </c>
      <c r="F154">
        <v>20.8</v>
      </c>
      <c r="G154">
        <v>487</v>
      </c>
      <c r="H154">
        <v>0.25</v>
      </c>
      <c r="I154">
        <v>2</v>
      </c>
      <c r="J154">
        <v>0</v>
      </c>
      <c r="K154">
        <v>0</v>
      </c>
      <c r="L154" t="s">
        <v>323</v>
      </c>
      <c r="M154" s="1">
        <v>45473</v>
      </c>
      <c r="N154">
        <f>YEAR(Raw_Data[[#This Row],[join_date_UK]])</f>
        <v>2024</v>
      </c>
    </row>
    <row r="155" spans="1:14" x14ac:dyDescent="0.3">
      <c r="A155" t="s">
        <v>324</v>
      </c>
      <c r="B155" t="s">
        <v>14</v>
      </c>
      <c r="C155">
        <v>25</v>
      </c>
      <c r="D155" t="s">
        <v>34</v>
      </c>
      <c r="E155" t="s">
        <v>53</v>
      </c>
      <c r="F155">
        <v>14.3</v>
      </c>
      <c r="G155">
        <v>492</v>
      </c>
      <c r="H155">
        <v>0.3</v>
      </c>
      <c r="I155">
        <v>2</v>
      </c>
      <c r="J155">
        <v>1</v>
      </c>
      <c r="K155">
        <v>0</v>
      </c>
      <c r="L155" t="s">
        <v>325</v>
      </c>
      <c r="M155" s="1">
        <v>45040</v>
      </c>
      <c r="N155">
        <f>YEAR(Raw_Data[[#This Row],[join_date_UK]])</f>
        <v>2023</v>
      </c>
    </row>
    <row r="156" spans="1:14" x14ac:dyDescent="0.3">
      <c r="A156" t="s">
        <v>326</v>
      </c>
      <c r="B156" t="s">
        <v>26</v>
      </c>
      <c r="C156">
        <v>18</v>
      </c>
      <c r="D156" t="s">
        <v>15</v>
      </c>
      <c r="E156" t="s">
        <v>53</v>
      </c>
      <c r="F156">
        <v>17.899999999999999</v>
      </c>
      <c r="G156">
        <v>524</v>
      </c>
      <c r="H156">
        <v>0.1</v>
      </c>
      <c r="I156">
        <v>2</v>
      </c>
      <c r="J156">
        <v>0</v>
      </c>
      <c r="K156">
        <v>0</v>
      </c>
      <c r="L156" t="s">
        <v>327</v>
      </c>
      <c r="M156" s="1">
        <v>44592</v>
      </c>
      <c r="N156">
        <f>YEAR(Raw_Data[[#This Row],[join_date_UK]])</f>
        <v>2022</v>
      </c>
    </row>
    <row r="157" spans="1:14" x14ac:dyDescent="0.3">
      <c r="A157" t="s">
        <v>328</v>
      </c>
      <c r="B157" t="s">
        <v>73</v>
      </c>
      <c r="C157">
        <v>50</v>
      </c>
      <c r="D157" t="s">
        <v>34</v>
      </c>
      <c r="E157" t="s">
        <v>53</v>
      </c>
      <c r="F157">
        <v>4.0999999999999996</v>
      </c>
      <c r="G157">
        <v>541</v>
      </c>
      <c r="H157">
        <v>0.1</v>
      </c>
      <c r="I157">
        <v>2</v>
      </c>
      <c r="J157">
        <v>0</v>
      </c>
      <c r="K157">
        <v>0</v>
      </c>
      <c r="L157" t="s">
        <v>329</v>
      </c>
      <c r="M157" s="1">
        <v>45334</v>
      </c>
      <c r="N157">
        <f>YEAR(Raw_Data[[#This Row],[join_date_UK]])</f>
        <v>2024</v>
      </c>
    </row>
    <row r="158" spans="1:14" x14ac:dyDescent="0.3">
      <c r="A158" t="s">
        <v>330</v>
      </c>
      <c r="B158" t="s">
        <v>22</v>
      </c>
      <c r="C158">
        <v>13</v>
      </c>
      <c r="D158" t="s">
        <v>34</v>
      </c>
      <c r="E158" t="s">
        <v>53</v>
      </c>
      <c r="F158">
        <v>11</v>
      </c>
      <c r="G158">
        <v>510</v>
      </c>
      <c r="H158">
        <v>0.2</v>
      </c>
      <c r="I158">
        <v>2</v>
      </c>
      <c r="J158">
        <v>0</v>
      </c>
      <c r="K158">
        <v>0</v>
      </c>
      <c r="L158" t="s">
        <v>331</v>
      </c>
      <c r="M158" s="1">
        <v>45313</v>
      </c>
      <c r="N158">
        <f>YEAR(Raw_Data[[#This Row],[join_date_UK]])</f>
        <v>2024</v>
      </c>
    </row>
    <row r="159" spans="1:14" x14ac:dyDescent="0.3">
      <c r="A159" t="s">
        <v>332</v>
      </c>
      <c r="B159" t="s">
        <v>39</v>
      </c>
      <c r="C159">
        <v>33</v>
      </c>
      <c r="D159" t="s">
        <v>23</v>
      </c>
      <c r="E159" t="s">
        <v>53</v>
      </c>
      <c r="F159">
        <v>0.2</v>
      </c>
      <c r="G159">
        <v>499</v>
      </c>
      <c r="H159">
        <v>0.2</v>
      </c>
      <c r="I159">
        <v>2</v>
      </c>
      <c r="J159">
        <v>0</v>
      </c>
      <c r="K159">
        <v>0</v>
      </c>
      <c r="L159" t="s">
        <v>333</v>
      </c>
      <c r="M159" s="1">
        <v>45101</v>
      </c>
      <c r="N159">
        <f>YEAR(Raw_Data[[#This Row],[join_date_UK]])</f>
        <v>2023</v>
      </c>
    </row>
    <row r="160" spans="1:14" x14ac:dyDescent="0.3">
      <c r="A160" t="s">
        <v>334</v>
      </c>
      <c r="B160" t="s">
        <v>19</v>
      </c>
      <c r="C160">
        <v>31</v>
      </c>
      <c r="D160" t="s">
        <v>23</v>
      </c>
      <c r="E160" t="s">
        <v>53</v>
      </c>
      <c r="F160">
        <v>8.1999999999999993</v>
      </c>
      <c r="G160">
        <v>514</v>
      </c>
      <c r="H160">
        <v>0.05</v>
      </c>
      <c r="I160">
        <v>2</v>
      </c>
      <c r="J160">
        <v>0</v>
      </c>
      <c r="K160">
        <v>0</v>
      </c>
      <c r="L160" t="s">
        <v>335</v>
      </c>
      <c r="M160" s="1">
        <v>45367</v>
      </c>
      <c r="N160">
        <f>YEAR(Raw_Data[[#This Row],[join_date_UK]])</f>
        <v>2024</v>
      </c>
    </row>
    <row r="161" spans="1:14" x14ac:dyDescent="0.3">
      <c r="A161" t="s">
        <v>336</v>
      </c>
      <c r="B161" t="s">
        <v>22</v>
      </c>
      <c r="C161">
        <v>50</v>
      </c>
      <c r="D161" t="s">
        <v>34</v>
      </c>
      <c r="E161" t="s">
        <v>53</v>
      </c>
      <c r="F161">
        <v>11.8</v>
      </c>
      <c r="G161">
        <v>527</v>
      </c>
      <c r="H161">
        <v>0.05</v>
      </c>
      <c r="I161">
        <v>2</v>
      </c>
      <c r="J161">
        <v>0</v>
      </c>
      <c r="K161">
        <v>0</v>
      </c>
      <c r="L161" t="s">
        <v>337</v>
      </c>
      <c r="M161" s="1">
        <v>45472</v>
      </c>
      <c r="N161">
        <f>YEAR(Raw_Data[[#This Row],[join_date_UK]])</f>
        <v>2024</v>
      </c>
    </row>
    <row r="162" spans="1:14" x14ac:dyDescent="0.3">
      <c r="A162" t="s">
        <v>338</v>
      </c>
      <c r="B162" t="s">
        <v>26</v>
      </c>
      <c r="C162">
        <v>43</v>
      </c>
      <c r="D162" t="s">
        <v>23</v>
      </c>
      <c r="E162" t="s">
        <v>53</v>
      </c>
      <c r="F162">
        <v>8</v>
      </c>
      <c r="G162">
        <v>471</v>
      </c>
      <c r="H162">
        <v>0.25</v>
      </c>
      <c r="I162">
        <v>2</v>
      </c>
      <c r="J162">
        <v>0</v>
      </c>
      <c r="K162">
        <v>0</v>
      </c>
      <c r="L162" t="s">
        <v>160</v>
      </c>
      <c r="M162" s="1">
        <v>45178</v>
      </c>
      <c r="N162">
        <f>YEAR(Raw_Data[[#This Row],[join_date_UK]])</f>
        <v>2023</v>
      </c>
    </row>
    <row r="163" spans="1:14" x14ac:dyDescent="0.3">
      <c r="A163" t="s">
        <v>339</v>
      </c>
      <c r="B163" t="s">
        <v>19</v>
      </c>
      <c r="C163">
        <v>53</v>
      </c>
      <c r="D163" t="s">
        <v>34</v>
      </c>
      <c r="E163" t="s">
        <v>66</v>
      </c>
      <c r="F163">
        <v>5.5</v>
      </c>
      <c r="G163">
        <v>500</v>
      </c>
      <c r="H163">
        <v>0.1</v>
      </c>
      <c r="I163">
        <v>2</v>
      </c>
      <c r="J163">
        <v>1</v>
      </c>
      <c r="K163">
        <v>7.99</v>
      </c>
      <c r="L163" t="s">
        <v>340</v>
      </c>
      <c r="M163" s="1">
        <v>44647</v>
      </c>
      <c r="N163">
        <f>YEAR(Raw_Data[[#This Row],[join_date_UK]])</f>
        <v>2022</v>
      </c>
    </row>
    <row r="164" spans="1:14" x14ac:dyDescent="0.3">
      <c r="A164" t="s">
        <v>341</v>
      </c>
      <c r="B164" t="s">
        <v>19</v>
      </c>
      <c r="C164">
        <v>63</v>
      </c>
      <c r="D164" t="s">
        <v>23</v>
      </c>
      <c r="E164" t="s">
        <v>66</v>
      </c>
      <c r="F164">
        <v>13.9</v>
      </c>
      <c r="G164">
        <v>493</v>
      </c>
      <c r="H164">
        <v>0.2</v>
      </c>
      <c r="I164">
        <v>2</v>
      </c>
      <c r="J164">
        <v>0</v>
      </c>
      <c r="K164">
        <v>7.99</v>
      </c>
      <c r="L164" t="s">
        <v>342</v>
      </c>
      <c r="M164" s="1">
        <v>45034</v>
      </c>
      <c r="N164">
        <f>YEAR(Raw_Data[[#This Row],[join_date_UK]])</f>
        <v>2023</v>
      </c>
    </row>
    <row r="165" spans="1:14" x14ac:dyDescent="0.3">
      <c r="A165" t="s">
        <v>343</v>
      </c>
      <c r="B165" t="s">
        <v>14</v>
      </c>
      <c r="C165">
        <v>16</v>
      </c>
      <c r="D165" t="s">
        <v>23</v>
      </c>
      <c r="E165" t="s">
        <v>66</v>
      </c>
      <c r="F165">
        <v>12.4</v>
      </c>
      <c r="G165">
        <v>523</v>
      </c>
      <c r="H165">
        <v>0.25</v>
      </c>
      <c r="I165">
        <v>2</v>
      </c>
      <c r="J165">
        <v>0</v>
      </c>
      <c r="K165">
        <v>9.99</v>
      </c>
      <c r="L165" t="s">
        <v>344</v>
      </c>
      <c r="M165" s="1">
        <v>44680</v>
      </c>
      <c r="N165">
        <f>YEAR(Raw_Data[[#This Row],[join_date_UK]])</f>
        <v>2022</v>
      </c>
    </row>
    <row r="166" spans="1:14" x14ac:dyDescent="0.3">
      <c r="A166" t="s">
        <v>345</v>
      </c>
      <c r="B166" t="s">
        <v>22</v>
      </c>
      <c r="C166">
        <v>40</v>
      </c>
      <c r="D166" t="s">
        <v>23</v>
      </c>
      <c r="E166" t="s">
        <v>66</v>
      </c>
      <c r="F166">
        <v>11</v>
      </c>
      <c r="G166">
        <v>452</v>
      </c>
      <c r="H166">
        <v>0.1</v>
      </c>
      <c r="I166">
        <v>2</v>
      </c>
      <c r="J166">
        <v>0</v>
      </c>
      <c r="K166">
        <v>9.99</v>
      </c>
      <c r="L166" t="s">
        <v>346</v>
      </c>
      <c r="M166" s="1">
        <v>44830</v>
      </c>
      <c r="N166">
        <f>YEAR(Raw_Data[[#This Row],[join_date_UK]])</f>
        <v>2022</v>
      </c>
    </row>
    <row r="167" spans="1:14" x14ac:dyDescent="0.3">
      <c r="A167" t="s">
        <v>347</v>
      </c>
      <c r="B167" t="s">
        <v>73</v>
      </c>
      <c r="C167">
        <v>16</v>
      </c>
      <c r="D167" t="s">
        <v>34</v>
      </c>
      <c r="E167" t="s">
        <v>66</v>
      </c>
      <c r="F167">
        <v>10.3</v>
      </c>
      <c r="G167">
        <v>506</v>
      </c>
      <c r="H167">
        <v>0.15</v>
      </c>
      <c r="I167">
        <v>2</v>
      </c>
      <c r="J167">
        <v>1</v>
      </c>
      <c r="K167">
        <v>12.99</v>
      </c>
      <c r="L167" t="s">
        <v>348</v>
      </c>
      <c r="M167" s="1">
        <v>45102</v>
      </c>
      <c r="N167">
        <f>YEAR(Raw_Data[[#This Row],[join_date_UK]])</f>
        <v>2023</v>
      </c>
    </row>
    <row r="168" spans="1:14" x14ac:dyDescent="0.3">
      <c r="A168" t="s">
        <v>349</v>
      </c>
      <c r="B168" t="s">
        <v>19</v>
      </c>
      <c r="C168">
        <v>51</v>
      </c>
      <c r="D168" t="s">
        <v>23</v>
      </c>
      <c r="E168" t="s">
        <v>66</v>
      </c>
      <c r="F168">
        <v>15.5</v>
      </c>
      <c r="G168">
        <v>502</v>
      </c>
      <c r="H168">
        <v>0.1</v>
      </c>
      <c r="I168">
        <v>2</v>
      </c>
      <c r="J168">
        <v>0</v>
      </c>
      <c r="K168">
        <v>9.99</v>
      </c>
      <c r="L168" t="s">
        <v>350</v>
      </c>
      <c r="M168" s="1">
        <v>44910</v>
      </c>
      <c r="N168">
        <f>YEAR(Raw_Data[[#This Row],[join_date_UK]])</f>
        <v>2022</v>
      </c>
    </row>
    <row r="169" spans="1:14" x14ac:dyDescent="0.3">
      <c r="A169" t="s">
        <v>351</v>
      </c>
      <c r="B169" t="s">
        <v>19</v>
      </c>
      <c r="C169">
        <v>15</v>
      </c>
      <c r="D169" t="s">
        <v>30</v>
      </c>
      <c r="E169" t="s">
        <v>66</v>
      </c>
      <c r="F169">
        <v>5.3</v>
      </c>
      <c r="G169">
        <v>525</v>
      </c>
      <c r="H169">
        <v>0.2</v>
      </c>
      <c r="I169">
        <v>2</v>
      </c>
      <c r="J169">
        <v>1</v>
      </c>
      <c r="K169">
        <v>7.99</v>
      </c>
      <c r="L169" t="s">
        <v>352</v>
      </c>
      <c r="M169" s="1">
        <v>45110</v>
      </c>
      <c r="N169">
        <f>YEAR(Raw_Data[[#This Row],[join_date_UK]])</f>
        <v>2023</v>
      </c>
    </row>
    <row r="170" spans="1:14" x14ac:dyDescent="0.3">
      <c r="A170" t="s">
        <v>353</v>
      </c>
      <c r="B170" t="s">
        <v>19</v>
      </c>
      <c r="C170">
        <v>37</v>
      </c>
      <c r="D170" t="s">
        <v>34</v>
      </c>
      <c r="E170" t="s">
        <v>66</v>
      </c>
      <c r="F170">
        <v>14.1</v>
      </c>
      <c r="G170">
        <v>528</v>
      </c>
      <c r="H170">
        <v>0.05</v>
      </c>
      <c r="I170">
        <v>2</v>
      </c>
      <c r="J170">
        <v>1</v>
      </c>
      <c r="K170">
        <v>7.99</v>
      </c>
      <c r="L170" t="s">
        <v>354</v>
      </c>
      <c r="M170" s="1">
        <v>44564</v>
      </c>
      <c r="N170">
        <f>YEAR(Raw_Data[[#This Row],[join_date_UK]])</f>
        <v>2022</v>
      </c>
    </row>
    <row r="171" spans="1:14" x14ac:dyDescent="0.3">
      <c r="A171" t="s">
        <v>355</v>
      </c>
      <c r="B171" t="s">
        <v>44</v>
      </c>
      <c r="C171">
        <v>39</v>
      </c>
      <c r="D171" t="s">
        <v>34</v>
      </c>
      <c r="E171" t="s">
        <v>66</v>
      </c>
      <c r="F171">
        <v>11.3</v>
      </c>
      <c r="G171">
        <v>487</v>
      </c>
      <c r="H171">
        <v>0.3</v>
      </c>
      <c r="I171">
        <v>2</v>
      </c>
      <c r="J171">
        <v>0</v>
      </c>
      <c r="K171">
        <v>9.99</v>
      </c>
      <c r="L171" t="s">
        <v>166</v>
      </c>
      <c r="M171" s="1">
        <v>44919</v>
      </c>
      <c r="N171">
        <f>YEAR(Raw_Data[[#This Row],[join_date_UK]])</f>
        <v>2022</v>
      </c>
    </row>
    <row r="172" spans="1:14" x14ac:dyDescent="0.3">
      <c r="A172" t="s">
        <v>356</v>
      </c>
      <c r="B172" t="s">
        <v>14</v>
      </c>
      <c r="C172">
        <v>33</v>
      </c>
      <c r="D172" t="s">
        <v>15</v>
      </c>
      <c r="E172" t="s">
        <v>66</v>
      </c>
      <c r="F172">
        <v>14.6</v>
      </c>
      <c r="G172">
        <v>512</v>
      </c>
      <c r="H172">
        <v>0.3</v>
      </c>
      <c r="I172">
        <v>2</v>
      </c>
      <c r="J172">
        <v>0</v>
      </c>
      <c r="L172" t="s">
        <v>357</v>
      </c>
      <c r="M172" s="1">
        <v>44960</v>
      </c>
      <c r="N172">
        <f>YEAR(Raw_Data[[#This Row],[join_date_UK]])</f>
        <v>2023</v>
      </c>
    </row>
    <row r="173" spans="1:14" x14ac:dyDescent="0.3">
      <c r="A173" t="s">
        <v>358</v>
      </c>
      <c r="B173" t="s">
        <v>39</v>
      </c>
      <c r="C173">
        <v>42</v>
      </c>
      <c r="D173" t="s">
        <v>34</v>
      </c>
      <c r="E173" t="s">
        <v>66</v>
      </c>
      <c r="F173">
        <v>14.8</v>
      </c>
      <c r="G173">
        <v>563</v>
      </c>
      <c r="H173">
        <v>0.3</v>
      </c>
      <c r="I173">
        <v>2</v>
      </c>
      <c r="J173">
        <v>0</v>
      </c>
      <c r="K173">
        <v>7.99</v>
      </c>
      <c r="L173" t="s">
        <v>359</v>
      </c>
      <c r="M173" s="1">
        <v>45429</v>
      </c>
      <c r="N173">
        <f>YEAR(Raw_Data[[#This Row],[join_date_UK]])</f>
        <v>2024</v>
      </c>
    </row>
    <row r="174" spans="1:14" x14ac:dyDescent="0.3">
      <c r="A174" t="s">
        <v>360</v>
      </c>
      <c r="B174" t="s">
        <v>39</v>
      </c>
      <c r="C174">
        <v>60</v>
      </c>
      <c r="D174" t="s">
        <v>34</v>
      </c>
      <c r="E174" t="s">
        <v>66</v>
      </c>
      <c r="F174">
        <v>7.9</v>
      </c>
      <c r="G174">
        <v>533</v>
      </c>
      <c r="H174">
        <v>0.2</v>
      </c>
      <c r="I174">
        <v>2</v>
      </c>
      <c r="J174">
        <v>0</v>
      </c>
      <c r="K174">
        <v>7.99</v>
      </c>
      <c r="L174" t="s">
        <v>361</v>
      </c>
      <c r="M174" s="1">
        <v>44977</v>
      </c>
      <c r="N174">
        <f>YEAR(Raw_Data[[#This Row],[join_date_UK]])</f>
        <v>2023</v>
      </c>
    </row>
    <row r="175" spans="1:14" x14ac:dyDescent="0.3">
      <c r="A175" t="s">
        <v>362</v>
      </c>
      <c r="B175" t="s">
        <v>39</v>
      </c>
      <c r="C175">
        <v>59</v>
      </c>
      <c r="D175" t="s">
        <v>23</v>
      </c>
      <c r="E175" t="s">
        <v>66</v>
      </c>
      <c r="F175">
        <v>0.8</v>
      </c>
      <c r="G175">
        <v>484</v>
      </c>
      <c r="H175">
        <v>0.3</v>
      </c>
      <c r="I175">
        <v>2</v>
      </c>
      <c r="J175">
        <v>1</v>
      </c>
      <c r="K175">
        <v>12.99</v>
      </c>
      <c r="L175" t="s">
        <v>363</v>
      </c>
      <c r="M175" s="1">
        <v>44717</v>
      </c>
      <c r="N175">
        <f>YEAR(Raw_Data[[#This Row],[join_date_UK]])</f>
        <v>2022</v>
      </c>
    </row>
    <row r="176" spans="1:14" x14ac:dyDescent="0.3">
      <c r="A176" t="s">
        <v>364</v>
      </c>
      <c r="B176" t="s">
        <v>19</v>
      </c>
      <c r="C176">
        <v>40</v>
      </c>
      <c r="D176" t="s">
        <v>34</v>
      </c>
      <c r="E176" t="s">
        <v>66</v>
      </c>
      <c r="F176">
        <v>7.7</v>
      </c>
      <c r="G176">
        <v>493</v>
      </c>
      <c r="H176">
        <v>0.2</v>
      </c>
      <c r="I176">
        <v>2</v>
      </c>
      <c r="J176">
        <v>0</v>
      </c>
      <c r="K176">
        <v>7.99</v>
      </c>
      <c r="L176" t="s">
        <v>365</v>
      </c>
      <c r="M176" s="1">
        <v>44751</v>
      </c>
      <c r="N176">
        <f>YEAR(Raw_Data[[#This Row],[join_date_UK]])</f>
        <v>2022</v>
      </c>
    </row>
    <row r="177" spans="1:14" x14ac:dyDescent="0.3">
      <c r="A177" t="s">
        <v>366</v>
      </c>
      <c r="B177" t="s">
        <v>22</v>
      </c>
      <c r="C177">
        <v>44</v>
      </c>
      <c r="D177" t="s">
        <v>23</v>
      </c>
      <c r="E177" t="s">
        <v>66</v>
      </c>
      <c r="F177">
        <v>10.5</v>
      </c>
      <c r="G177">
        <v>515</v>
      </c>
      <c r="H177">
        <v>0.1</v>
      </c>
      <c r="I177">
        <v>2</v>
      </c>
      <c r="J177">
        <v>0</v>
      </c>
      <c r="K177">
        <v>5</v>
      </c>
      <c r="L177" t="s">
        <v>367</v>
      </c>
      <c r="M177" s="1">
        <v>45259</v>
      </c>
      <c r="N177">
        <f>YEAR(Raw_Data[[#This Row],[join_date_UK]])</f>
        <v>2023</v>
      </c>
    </row>
    <row r="178" spans="1:14" x14ac:dyDescent="0.3">
      <c r="A178" t="s">
        <v>368</v>
      </c>
      <c r="B178" t="s">
        <v>26</v>
      </c>
      <c r="C178">
        <v>23</v>
      </c>
      <c r="D178" t="s">
        <v>23</v>
      </c>
      <c r="E178" t="s">
        <v>66</v>
      </c>
      <c r="F178">
        <v>7.8</v>
      </c>
      <c r="G178">
        <v>504</v>
      </c>
      <c r="H178">
        <v>0.3</v>
      </c>
      <c r="I178">
        <v>2</v>
      </c>
      <c r="J178">
        <v>1</v>
      </c>
      <c r="K178">
        <v>5</v>
      </c>
      <c r="L178" t="s">
        <v>369</v>
      </c>
      <c r="M178" s="1">
        <v>44824</v>
      </c>
      <c r="N178">
        <f>YEAR(Raw_Data[[#This Row],[join_date_UK]])</f>
        <v>2022</v>
      </c>
    </row>
    <row r="179" spans="1:14" x14ac:dyDescent="0.3">
      <c r="A179" t="s">
        <v>370</v>
      </c>
      <c r="B179" t="s">
        <v>73</v>
      </c>
      <c r="C179">
        <v>15</v>
      </c>
      <c r="D179" t="s">
        <v>23</v>
      </c>
      <c r="E179" t="s">
        <v>66</v>
      </c>
      <c r="F179">
        <v>13.2</v>
      </c>
      <c r="G179">
        <v>490</v>
      </c>
      <c r="H179">
        <v>0.05</v>
      </c>
      <c r="I179">
        <v>2</v>
      </c>
      <c r="J179">
        <v>0</v>
      </c>
      <c r="K179">
        <v>5</v>
      </c>
      <c r="L179" t="s">
        <v>371</v>
      </c>
      <c r="M179" s="1">
        <v>44937</v>
      </c>
      <c r="N179">
        <f>YEAR(Raw_Data[[#This Row],[join_date_UK]])</f>
        <v>2023</v>
      </c>
    </row>
    <row r="180" spans="1:14" x14ac:dyDescent="0.3">
      <c r="A180" t="s">
        <v>372</v>
      </c>
      <c r="B180" t="s">
        <v>19</v>
      </c>
      <c r="C180">
        <v>63</v>
      </c>
      <c r="D180" t="s">
        <v>23</v>
      </c>
      <c r="E180" t="s">
        <v>66</v>
      </c>
      <c r="F180">
        <v>12.4</v>
      </c>
      <c r="G180">
        <v>543</v>
      </c>
      <c r="H180">
        <v>0.1</v>
      </c>
      <c r="I180">
        <v>2</v>
      </c>
      <c r="J180">
        <v>0</v>
      </c>
      <c r="K180">
        <v>12.99</v>
      </c>
      <c r="L180" t="s">
        <v>373</v>
      </c>
      <c r="M180" s="1">
        <v>45634</v>
      </c>
      <c r="N180">
        <f>YEAR(Raw_Data[[#This Row],[join_date_UK]])</f>
        <v>2024</v>
      </c>
    </row>
    <row r="181" spans="1:14" x14ac:dyDescent="0.3">
      <c r="A181" t="s">
        <v>374</v>
      </c>
      <c r="B181" t="s">
        <v>44</v>
      </c>
      <c r="C181">
        <v>34</v>
      </c>
      <c r="D181" t="s">
        <v>23</v>
      </c>
      <c r="E181" t="s">
        <v>66</v>
      </c>
      <c r="F181">
        <v>5.9</v>
      </c>
      <c r="G181">
        <v>489</v>
      </c>
      <c r="H181">
        <v>0.1</v>
      </c>
      <c r="I181">
        <v>2</v>
      </c>
      <c r="J181">
        <v>0</v>
      </c>
      <c r="K181">
        <v>9.99</v>
      </c>
      <c r="L181" t="s">
        <v>375</v>
      </c>
      <c r="M181" s="1">
        <v>45521</v>
      </c>
      <c r="N181">
        <f>YEAR(Raw_Data[[#This Row],[join_date_UK]])</f>
        <v>2024</v>
      </c>
    </row>
    <row r="182" spans="1:14" x14ac:dyDescent="0.3">
      <c r="A182" t="s">
        <v>376</v>
      </c>
      <c r="B182" t="s">
        <v>39</v>
      </c>
      <c r="C182">
        <v>28</v>
      </c>
      <c r="D182" t="s">
        <v>34</v>
      </c>
      <c r="E182" t="s">
        <v>66</v>
      </c>
      <c r="F182">
        <v>21.7</v>
      </c>
      <c r="G182">
        <v>512</v>
      </c>
      <c r="H182">
        <v>0.15</v>
      </c>
      <c r="I182">
        <v>2</v>
      </c>
      <c r="J182">
        <v>1</v>
      </c>
      <c r="K182">
        <v>7.99</v>
      </c>
      <c r="L182" t="s">
        <v>377</v>
      </c>
      <c r="M182" s="1">
        <v>45284</v>
      </c>
      <c r="N182">
        <f>YEAR(Raw_Data[[#This Row],[join_date_UK]])</f>
        <v>2023</v>
      </c>
    </row>
    <row r="183" spans="1:14" x14ac:dyDescent="0.3">
      <c r="A183" t="s">
        <v>378</v>
      </c>
      <c r="B183" t="s">
        <v>19</v>
      </c>
      <c r="C183">
        <v>30</v>
      </c>
      <c r="D183" t="s">
        <v>34</v>
      </c>
      <c r="E183" t="s">
        <v>66</v>
      </c>
      <c r="F183">
        <v>8.1999999999999993</v>
      </c>
      <c r="G183">
        <v>510</v>
      </c>
      <c r="H183">
        <v>0.1</v>
      </c>
      <c r="I183">
        <v>2</v>
      </c>
      <c r="J183">
        <v>1</v>
      </c>
      <c r="K183">
        <v>9.99</v>
      </c>
      <c r="L183" t="s">
        <v>379</v>
      </c>
      <c r="M183" s="1">
        <v>45030</v>
      </c>
      <c r="N183">
        <f>YEAR(Raw_Data[[#This Row],[join_date_UK]])</f>
        <v>2023</v>
      </c>
    </row>
    <row r="184" spans="1:14" x14ac:dyDescent="0.3">
      <c r="A184" t="s">
        <v>380</v>
      </c>
      <c r="B184" t="s">
        <v>19</v>
      </c>
      <c r="C184">
        <v>56</v>
      </c>
      <c r="D184" t="s">
        <v>30</v>
      </c>
      <c r="E184" t="s">
        <v>66</v>
      </c>
      <c r="F184">
        <v>6.5</v>
      </c>
      <c r="G184">
        <v>517</v>
      </c>
      <c r="H184">
        <v>0.05</v>
      </c>
      <c r="I184">
        <v>2</v>
      </c>
      <c r="J184">
        <v>0</v>
      </c>
      <c r="K184">
        <v>7.99</v>
      </c>
      <c r="L184" t="s">
        <v>231</v>
      </c>
      <c r="M184" s="1">
        <v>44578</v>
      </c>
      <c r="N184">
        <f>YEAR(Raw_Data[[#This Row],[join_date_UK]])</f>
        <v>2022</v>
      </c>
    </row>
    <row r="185" spans="1:14" x14ac:dyDescent="0.3">
      <c r="A185" t="s">
        <v>381</v>
      </c>
      <c r="B185" t="s">
        <v>14</v>
      </c>
      <c r="C185">
        <v>27</v>
      </c>
      <c r="D185" t="s">
        <v>23</v>
      </c>
      <c r="E185" t="s">
        <v>66</v>
      </c>
      <c r="F185">
        <v>11.6</v>
      </c>
      <c r="G185">
        <v>509</v>
      </c>
      <c r="H185">
        <v>0.2</v>
      </c>
      <c r="I185">
        <v>2</v>
      </c>
      <c r="J185">
        <v>0</v>
      </c>
      <c r="K185">
        <v>9.99</v>
      </c>
      <c r="L185" t="s">
        <v>382</v>
      </c>
      <c r="M185" s="1">
        <v>45290</v>
      </c>
      <c r="N185">
        <f>YEAR(Raw_Data[[#This Row],[join_date_UK]])</f>
        <v>2023</v>
      </c>
    </row>
    <row r="186" spans="1:14" x14ac:dyDescent="0.3">
      <c r="A186" t="s">
        <v>383</v>
      </c>
      <c r="B186" t="s">
        <v>19</v>
      </c>
      <c r="C186">
        <v>34</v>
      </c>
      <c r="D186" t="s">
        <v>34</v>
      </c>
      <c r="E186" t="s">
        <v>66</v>
      </c>
      <c r="F186">
        <v>10.4</v>
      </c>
      <c r="G186">
        <v>469</v>
      </c>
      <c r="H186">
        <v>0.3</v>
      </c>
      <c r="I186">
        <v>2</v>
      </c>
      <c r="J186">
        <v>1</v>
      </c>
      <c r="L186" t="s">
        <v>270</v>
      </c>
      <c r="M186" s="1">
        <v>45057</v>
      </c>
      <c r="N186">
        <f>YEAR(Raw_Data[[#This Row],[join_date_UK]])</f>
        <v>2023</v>
      </c>
    </row>
    <row r="187" spans="1:14" x14ac:dyDescent="0.3">
      <c r="A187" t="s">
        <v>384</v>
      </c>
      <c r="B187" t="s">
        <v>29</v>
      </c>
      <c r="C187">
        <v>26</v>
      </c>
      <c r="D187" t="s">
        <v>23</v>
      </c>
      <c r="E187" t="s">
        <v>66</v>
      </c>
      <c r="F187">
        <v>8.9</v>
      </c>
      <c r="G187">
        <v>475</v>
      </c>
      <c r="H187">
        <v>0.2</v>
      </c>
      <c r="I187">
        <v>2</v>
      </c>
      <c r="J187">
        <v>0</v>
      </c>
      <c r="K187">
        <v>7.99</v>
      </c>
      <c r="L187" t="s">
        <v>385</v>
      </c>
      <c r="M187" s="1">
        <v>44792</v>
      </c>
      <c r="N187">
        <f>YEAR(Raw_Data[[#This Row],[join_date_UK]])</f>
        <v>2022</v>
      </c>
    </row>
    <row r="188" spans="1:14" x14ac:dyDescent="0.3">
      <c r="A188" t="s">
        <v>386</v>
      </c>
      <c r="B188" t="s">
        <v>29</v>
      </c>
      <c r="C188">
        <v>55</v>
      </c>
      <c r="D188" t="s">
        <v>23</v>
      </c>
      <c r="E188" t="s">
        <v>66</v>
      </c>
      <c r="F188">
        <v>12.1</v>
      </c>
      <c r="G188">
        <v>512</v>
      </c>
      <c r="H188">
        <v>0.15</v>
      </c>
      <c r="I188">
        <v>2</v>
      </c>
      <c r="J188">
        <v>0</v>
      </c>
      <c r="K188">
        <v>12.99</v>
      </c>
      <c r="L188" t="s">
        <v>387</v>
      </c>
      <c r="M188" s="1">
        <v>45092</v>
      </c>
      <c r="N188">
        <f>YEAR(Raw_Data[[#This Row],[join_date_UK]])</f>
        <v>2023</v>
      </c>
    </row>
    <row r="189" spans="1:14" x14ac:dyDescent="0.3">
      <c r="A189" t="s">
        <v>388</v>
      </c>
      <c r="B189" t="s">
        <v>33</v>
      </c>
      <c r="C189">
        <v>23</v>
      </c>
      <c r="D189" t="s">
        <v>23</v>
      </c>
      <c r="E189" t="s">
        <v>66</v>
      </c>
      <c r="F189">
        <v>11.5</v>
      </c>
      <c r="G189">
        <v>510</v>
      </c>
      <c r="H189">
        <v>0.05</v>
      </c>
      <c r="I189">
        <v>2</v>
      </c>
      <c r="J189">
        <v>0</v>
      </c>
      <c r="K189">
        <v>7.99</v>
      </c>
      <c r="L189" t="s">
        <v>389</v>
      </c>
      <c r="M189" s="1">
        <v>45372</v>
      </c>
      <c r="N189">
        <f>YEAR(Raw_Data[[#This Row],[join_date_UK]])</f>
        <v>2024</v>
      </c>
    </row>
    <row r="190" spans="1:14" x14ac:dyDescent="0.3">
      <c r="A190" t="s">
        <v>15</v>
      </c>
      <c r="B190" t="s">
        <v>19</v>
      </c>
      <c r="C190">
        <v>50</v>
      </c>
      <c r="D190" t="s">
        <v>23</v>
      </c>
      <c r="E190" t="s">
        <v>66</v>
      </c>
      <c r="F190">
        <v>9.1</v>
      </c>
      <c r="G190">
        <v>484</v>
      </c>
      <c r="H190">
        <v>0.25</v>
      </c>
      <c r="I190">
        <v>2</v>
      </c>
      <c r="J190">
        <v>0</v>
      </c>
      <c r="K190">
        <v>12.99</v>
      </c>
      <c r="L190" t="s">
        <v>390</v>
      </c>
      <c r="M190" s="1">
        <v>45132</v>
      </c>
      <c r="N190">
        <f>YEAR(Raw_Data[[#This Row],[join_date_UK]])</f>
        <v>2023</v>
      </c>
    </row>
    <row r="191" spans="1:14" x14ac:dyDescent="0.3">
      <c r="A191" t="s">
        <v>391</v>
      </c>
      <c r="B191" t="s">
        <v>29</v>
      </c>
      <c r="C191">
        <v>63</v>
      </c>
      <c r="D191" t="s">
        <v>23</v>
      </c>
      <c r="E191" t="s">
        <v>66</v>
      </c>
      <c r="F191">
        <v>5.2</v>
      </c>
      <c r="G191">
        <v>501</v>
      </c>
      <c r="H191">
        <v>0.3</v>
      </c>
      <c r="I191">
        <v>2</v>
      </c>
      <c r="J191">
        <v>1</v>
      </c>
      <c r="K191">
        <v>12.99</v>
      </c>
      <c r="L191" t="s">
        <v>392</v>
      </c>
      <c r="M191" s="1">
        <v>44855</v>
      </c>
      <c r="N191">
        <f>YEAR(Raw_Data[[#This Row],[join_date_UK]])</f>
        <v>2022</v>
      </c>
    </row>
    <row r="192" spans="1:14" x14ac:dyDescent="0.3">
      <c r="A192" t="s">
        <v>393</v>
      </c>
      <c r="B192" t="s">
        <v>73</v>
      </c>
      <c r="C192">
        <v>40</v>
      </c>
      <c r="D192" t="s">
        <v>23</v>
      </c>
      <c r="E192" t="s">
        <v>66</v>
      </c>
      <c r="F192">
        <v>10.199999999999999</v>
      </c>
      <c r="G192">
        <v>485</v>
      </c>
      <c r="H192">
        <v>0.1</v>
      </c>
      <c r="I192">
        <v>2</v>
      </c>
      <c r="J192">
        <v>1</v>
      </c>
      <c r="K192">
        <v>7.99</v>
      </c>
      <c r="L192" t="s">
        <v>394</v>
      </c>
      <c r="M192" s="1">
        <v>45253</v>
      </c>
      <c r="N192">
        <f>YEAR(Raw_Data[[#This Row],[join_date_UK]])</f>
        <v>2023</v>
      </c>
    </row>
    <row r="193" spans="1:14" x14ac:dyDescent="0.3">
      <c r="A193" t="s">
        <v>395</v>
      </c>
      <c r="B193" t="s">
        <v>14</v>
      </c>
      <c r="C193">
        <v>38</v>
      </c>
      <c r="D193" t="s">
        <v>30</v>
      </c>
      <c r="E193" t="s">
        <v>66</v>
      </c>
      <c r="F193">
        <v>9</v>
      </c>
      <c r="G193">
        <v>523</v>
      </c>
      <c r="H193">
        <v>0.1</v>
      </c>
      <c r="I193">
        <v>2</v>
      </c>
      <c r="J193">
        <v>0</v>
      </c>
      <c r="K193">
        <v>5</v>
      </c>
      <c r="L193" t="s">
        <v>396</v>
      </c>
      <c r="M193" s="1">
        <v>44957</v>
      </c>
      <c r="N193">
        <f>YEAR(Raw_Data[[#This Row],[join_date_UK]])</f>
        <v>2023</v>
      </c>
    </row>
    <row r="194" spans="1:14" x14ac:dyDescent="0.3">
      <c r="A194" t="s">
        <v>397</v>
      </c>
      <c r="B194" t="s">
        <v>19</v>
      </c>
      <c r="C194">
        <v>49</v>
      </c>
      <c r="D194" t="s">
        <v>34</v>
      </c>
      <c r="E194" t="s">
        <v>66</v>
      </c>
      <c r="F194">
        <v>3.7</v>
      </c>
      <c r="G194">
        <v>479</v>
      </c>
      <c r="H194">
        <v>0.15</v>
      </c>
      <c r="I194">
        <v>2</v>
      </c>
      <c r="J194">
        <v>0</v>
      </c>
      <c r="K194">
        <v>5</v>
      </c>
      <c r="L194" t="s">
        <v>398</v>
      </c>
      <c r="M194" s="1">
        <v>44907</v>
      </c>
      <c r="N194">
        <f>YEAR(Raw_Data[[#This Row],[join_date_UK]])</f>
        <v>2022</v>
      </c>
    </row>
    <row r="195" spans="1:14" x14ac:dyDescent="0.3">
      <c r="A195" t="s">
        <v>399</v>
      </c>
      <c r="B195" t="s">
        <v>73</v>
      </c>
      <c r="C195">
        <v>36</v>
      </c>
      <c r="D195" t="s">
        <v>23</v>
      </c>
      <c r="E195" t="s">
        <v>94</v>
      </c>
      <c r="F195">
        <v>19.3</v>
      </c>
      <c r="G195">
        <v>530</v>
      </c>
      <c r="H195">
        <v>0.15</v>
      </c>
      <c r="I195">
        <v>2</v>
      </c>
      <c r="J195">
        <v>0</v>
      </c>
      <c r="K195">
        <v>7.99</v>
      </c>
      <c r="L195" t="s">
        <v>138</v>
      </c>
      <c r="M195" s="1">
        <v>44967</v>
      </c>
      <c r="N195">
        <f>YEAR(Raw_Data[[#This Row],[join_date_UK]])</f>
        <v>2023</v>
      </c>
    </row>
    <row r="196" spans="1:14" x14ac:dyDescent="0.3">
      <c r="A196" t="s">
        <v>400</v>
      </c>
      <c r="B196" t="s">
        <v>19</v>
      </c>
      <c r="C196">
        <v>60</v>
      </c>
      <c r="D196" t="s">
        <v>15</v>
      </c>
      <c r="E196" t="s">
        <v>94</v>
      </c>
      <c r="F196">
        <v>20.3</v>
      </c>
      <c r="G196">
        <v>498</v>
      </c>
      <c r="H196">
        <v>0.2</v>
      </c>
      <c r="I196">
        <v>2</v>
      </c>
      <c r="J196">
        <v>1</v>
      </c>
      <c r="K196">
        <v>9.99</v>
      </c>
      <c r="L196" t="s">
        <v>401</v>
      </c>
      <c r="M196" s="1">
        <v>44621</v>
      </c>
      <c r="N196">
        <f>YEAR(Raw_Data[[#This Row],[join_date_UK]])</f>
        <v>2022</v>
      </c>
    </row>
    <row r="197" spans="1:14" x14ac:dyDescent="0.3">
      <c r="A197" t="s">
        <v>402</v>
      </c>
      <c r="B197" t="s">
        <v>22</v>
      </c>
      <c r="C197">
        <v>63</v>
      </c>
      <c r="D197" t="s">
        <v>30</v>
      </c>
      <c r="E197" t="s">
        <v>94</v>
      </c>
      <c r="F197">
        <v>6.4</v>
      </c>
      <c r="G197">
        <v>541</v>
      </c>
      <c r="H197">
        <v>0.1</v>
      </c>
      <c r="I197">
        <v>2</v>
      </c>
      <c r="J197">
        <v>1</v>
      </c>
      <c r="L197" t="s">
        <v>403</v>
      </c>
      <c r="M197" s="1">
        <v>45416</v>
      </c>
      <c r="N197">
        <f>YEAR(Raw_Data[[#This Row],[join_date_UK]])</f>
        <v>2024</v>
      </c>
    </row>
    <row r="198" spans="1:14" x14ac:dyDescent="0.3">
      <c r="A198" t="s">
        <v>404</v>
      </c>
      <c r="B198" t="s">
        <v>33</v>
      </c>
      <c r="C198">
        <v>59</v>
      </c>
      <c r="D198" t="s">
        <v>23</v>
      </c>
      <c r="E198" t="s">
        <v>94</v>
      </c>
      <c r="F198">
        <v>5.6</v>
      </c>
      <c r="G198">
        <v>466</v>
      </c>
      <c r="H198">
        <v>0.1</v>
      </c>
      <c r="I198">
        <v>2</v>
      </c>
      <c r="J198">
        <v>0</v>
      </c>
      <c r="K198">
        <v>9.99</v>
      </c>
      <c r="L198" t="s">
        <v>405</v>
      </c>
      <c r="M198" s="1">
        <v>45192</v>
      </c>
      <c r="N198">
        <f>YEAR(Raw_Data[[#This Row],[join_date_UK]])</f>
        <v>2023</v>
      </c>
    </row>
    <row r="199" spans="1:14" x14ac:dyDescent="0.3">
      <c r="A199" t="s">
        <v>406</v>
      </c>
      <c r="B199" t="s">
        <v>39</v>
      </c>
      <c r="C199">
        <v>15</v>
      </c>
      <c r="D199" t="s">
        <v>23</v>
      </c>
      <c r="E199" t="s">
        <v>94</v>
      </c>
      <c r="F199">
        <v>11.9</v>
      </c>
      <c r="G199">
        <v>521</v>
      </c>
      <c r="H199">
        <v>0.15</v>
      </c>
      <c r="I199">
        <v>2</v>
      </c>
      <c r="J199">
        <v>1</v>
      </c>
      <c r="K199">
        <v>9.99</v>
      </c>
      <c r="L199" t="s">
        <v>407</v>
      </c>
      <c r="M199" s="1">
        <v>45040</v>
      </c>
      <c r="N199">
        <f>YEAR(Raw_Data[[#This Row],[join_date_UK]])</f>
        <v>2023</v>
      </c>
    </row>
    <row r="200" spans="1:14" x14ac:dyDescent="0.3">
      <c r="A200" t="s">
        <v>408</v>
      </c>
      <c r="B200" t="s">
        <v>22</v>
      </c>
      <c r="C200">
        <v>38</v>
      </c>
      <c r="D200" t="s">
        <v>23</v>
      </c>
      <c r="E200" t="s">
        <v>94</v>
      </c>
      <c r="F200">
        <v>13.8</v>
      </c>
      <c r="G200">
        <v>519</v>
      </c>
      <c r="H200">
        <v>0.1</v>
      </c>
      <c r="I200">
        <v>2</v>
      </c>
      <c r="J200">
        <v>0</v>
      </c>
      <c r="K200">
        <v>9.99</v>
      </c>
      <c r="L200" t="s">
        <v>409</v>
      </c>
      <c r="M200" s="1">
        <v>45026</v>
      </c>
      <c r="N200">
        <f>YEAR(Raw_Data[[#This Row],[join_date_UK]])</f>
        <v>2023</v>
      </c>
    </row>
    <row r="201" spans="1:14" x14ac:dyDescent="0.3">
      <c r="A201" t="s">
        <v>410</v>
      </c>
      <c r="B201" t="s">
        <v>44</v>
      </c>
      <c r="C201">
        <v>26</v>
      </c>
      <c r="D201" t="s">
        <v>30</v>
      </c>
      <c r="E201" t="s">
        <v>94</v>
      </c>
      <c r="F201">
        <v>15.8</v>
      </c>
      <c r="G201">
        <v>494</v>
      </c>
      <c r="H201">
        <v>0.25</v>
      </c>
      <c r="I201">
        <v>2</v>
      </c>
      <c r="J201">
        <v>0</v>
      </c>
      <c r="K201">
        <v>9.99</v>
      </c>
      <c r="L201" t="s">
        <v>140</v>
      </c>
      <c r="M201" s="1">
        <v>45041</v>
      </c>
      <c r="N201">
        <f>YEAR(Raw_Data[[#This Row],[join_date_UK]])</f>
        <v>2023</v>
      </c>
    </row>
    <row r="202" spans="1:14" x14ac:dyDescent="0.3">
      <c r="A202" t="s">
        <v>411</v>
      </c>
      <c r="B202" t="s">
        <v>26</v>
      </c>
      <c r="C202">
        <v>49</v>
      </c>
      <c r="D202" t="s">
        <v>34</v>
      </c>
      <c r="E202" t="s">
        <v>94</v>
      </c>
      <c r="F202">
        <v>15.7</v>
      </c>
      <c r="G202">
        <v>532</v>
      </c>
      <c r="H202">
        <v>0.05</v>
      </c>
      <c r="I202">
        <v>2</v>
      </c>
      <c r="J202">
        <v>0</v>
      </c>
      <c r="L202" t="s">
        <v>412</v>
      </c>
      <c r="M202" s="1">
        <v>45014</v>
      </c>
      <c r="N202">
        <f>YEAR(Raw_Data[[#This Row],[join_date_UK]])</f>
        <v>2023</v>
      </c>
    </row>
    <row r="203" spans="1:14" x14ac:dyDescent="0.3">
      <c r="A203" t="s">
        <v>413</v>
      </c>
      <c r="B203" t="s">
        <v>29</v>
      </c>
      <c r="C203">
        <v>27</v>
      </c>
      <c r="D203" t="s">
        <v>23</v>
      </c>
      <c r="E203" t="s">
        <v>94</v>
      </c>
      <c r="F203">
        <v>3.3</v>
      </c>
      <c r="G203">
        <v>487</v>
      </c>
      <c r="H203">
        <v>0.15</v>
      </c>
      <c r="I203">
        <v>2</v>
      </c>
      <c r="J203">
        <v>0</v>
      </c>
      <c r="K203">
        <v>7.99</v>
      </c>
      <c r="L203" t="s">
        <v>414</v>
      </c>
      <c r="M203" s="1">
        <v>45235</v>
      </c>
      <c r="N203">
        <f>YEAR(Raw_Data[[#This Row],[join_date_UK]])</f>
        <v>2023</v>
      </c>
    </row>
    <row r="204" spans="1:14" x14ac:dyDescent="0.3">
      <c r="A204" t="s">
        <v>415</v>
      </c>
      <c r="B204" t="s">
        <v>19</v>
      </c>
      <c r="C204">
        <v>49</v>
      </c>
      <c r="D204" t="s">
        <v>34</v>
      </c>
      <c r="E204" t="s">
        <v>94</v>
      </c>
      <c r="F204">
        <v>13.2</v>
      </c>
      <c r="G204">
        <v>476</v>
      </c>
      <c r="H204">
        <v>0.05</v>
      </c>
      <c r="I204">
        <v>2</v>
      </c>
      <c r="J204">
        <v>0</v>
      </c>
      <c r="K204">
        <v>7.99</v>
      </c>
      <c r="L204" t="s">
        <v>416</v>
      </c>
      <c r="M204" s="1">
        <v>45413</v>
      </c>
      <c r="N204">
        <f>YEAR(Raw_Data[[#This Row],[join_date_UK]])</f>
        <v>2024</v>
      </c>
    </row>
    <row r="205" spans="1:14" x14ac:dyDescent="0.3">
      <c r="A205" t="s">
        <v>417</v>
      </c>
      <c r="B205" t="s">
        <v>29</v>
      </c>
      <c r="C205">
        <v>59</v>
      </c>
      <c r="D205" t="s">
        <v>23</v>
      </c>
      <c r="E205" t="s">
        <v>94</v>
      </c>
      <c r="F205">
        <v>23.6</v>
      </c>
      <c r="G205">
        <v>495</v>
      </c>
      <c r="H205">
        <v>0.05</v>
      </c>
      <c r="I205">
        <v>2</v>
      </c>
      <c r="J205">
        <v>1</v>
      </c>
      <c r="K205">
        <v>5</v>
      </c>
      <c r="L205" t="s">
        <v>418</v>
      </c>
      <c r="M205" s="1">
        <v>45138</v>
      </c>
      <c r="N205">
        <f>YEAR(Raw_Data[[#This Row],[join_date_UK]])</f>
        <v>2023</v>
      </c>
    </row>
    <row r="206" spans="1:14" x14ac:dyDescent="0.3">
      <c r="A206" t="s">
        <v>419</v>
      </c>
      <c r="B206" t="s">
        <v>39</v>
      </c>
      <c r="C206">
        <v>28</v>
      </c>
      <c r="D206" t="s">
        <v>23</v>
      </c>
      <c r="E206" t="s">
        <v>94</v>
      </c>
      <c r="F206">
        <v>5.6</v>
      </c>
      <c r="G206">
        <v>507</v>
      </c>
      <c r="H206">
        <v>0.1</v>
      </c>
      <c r="I206">
        <v>2</v>
      </c>
      <c r="J206">
        <v>1</v>
      </c>
      <c r="L206" t="s">
        <v>420</v>
      </c>
      <c r="M206" s="1">
        <v>45073</v>
      </c>
      <c r="N206">
        <f>YEAR(Raw_Data[[#This Row],[join_date_UK]])</f>
        <v>2023</v>
      </c>
    </row>
    <row r="207" spans="1:14" x14ac:dyDescent="0.3">
      <c r="A207" t="s">
        <v>15</v>
      </c>
      <c r="B207" t="s">
        <v>39</v>
      </c>
      <c r="C207">
        <v>40</v>
      </c>
      <c r="D207" t="s">
        <v>34</v>
      </c>
      <c r="E207" t="s">
        <v>94</v>
      </c>
      <c r="F207">
        <v>5</v>
      </c>
      <c r="G207">
        <v>488</v>
      </c>
      <c r="H207">
        <v>0.1</v>
      </c>
      <c r="I207">
        <v>2</v>
      </c>
      <c r="J207">
        <v>0</v>
      </c>
      <c r="K207">
        <v>7.99</v>
      </c>
      <c r="L207" t="s">
        <v>421</v>
      </c>
      <c r="M207" s="1">
        <v>45414</v>
      </c>
      <c r="N207">
        <f>YEAR(Raw_Data[[#This Row],[join_date_UK]])</f>
        <v>2024</v>
      </c>
    </row>
    <row r="208" spans="1:14" x14ac:dyDescent="0.3">
      <c r="A208" t="s">
        <v>422</v>
      </c>
      <c r="B208" t="s">
        <v>73</v>
      </c>
      <c r="C208">
        <v>26</v>
      </c>
      <c r="D208" t="s">
        <v>23</v>
      </c>
      <c r="E208" t="s">
        <v>94</v>
      </c>
      <c r="F208">
        <v>11.4</v>
      </c>
      <c r="G208">
        <v>513</v>
      </c>
      <c r="H208">
        <v>0.1</v>
      </c>
      <c r="I208">
        <v>2</v>
      </c>
      <c r="J208">
        <v>1</v>
      </c>
      <c r="K208">
        <v>9.99</v>
      </c>
      <c r="L208" t="s">
        <v>423</v>
      </c>
      <c r="M208" s="1">
        <v>45364</v>
      </c>
      <c r="N208">
        <f>YEAR(Raw_Data[[#This Row],[join_date_UK]])</f>
        <v>2024</v>
      </c>
    </row>
    <row r="209" spans="1:14" x14ac:dyDescent="0.3">
      <c r="A209" t="s">
        <v>424</v>
      </c>
      <c r="B209" t="s">
        <v>33</v>
      </c>
      <c r="C209">
        <v>26</v>
      </c>
      <c r="D209" t="s">
        <v>34</v>
      </c>
      <c r="E209" t="s">
        <v>94</v>
      </c>
      <c r="F209">
        <v>12.9</v>
      </c>
      <c r="G209">
        <v>464</v>
      </c>
      <c r="H209">
        <v>0.2</v>
      </c>
      <c r="I209">
        <v>2</v>
      </c>
      <c r="J209">
        <v>0</v>
      </c>
      <c r="K209">
        <v>5</v>
      </c>
      <c r="L209" t="s">
        <v>425</v>
      </c>
      <c r="M209" s="1">
        <v>44773</v>
      </c>
      <c r="N209">
        <f>YEAR(Raw_Data[[#This Row],[join_date_UK]])</f>
        <v>2022</v>
      </c>
    </row>
    <row r="210" spans="1:14" x14ac:dyDescent="0.3">
      <c r="A210" t="s">
        <v>426</v>
      </c>
      <c r="B210" t="s">
        <v>73</v>
      </c>
      <c r="C210">
        <v>24</v>
      </c>
      <c r="D210" t="s">
        <v>34</v>
      </c>
      <c r="E210" t="s">
        <v>94</v>
      </c>
      <c r="F210">
        <v>10.9</v>
      </c>
      <c r="G210">
        <v>500</v>
      </c>
      <c r="H210">
        <v>0.05</v>
      </c>
      <c r="I210">
        <v>2</v>
      </c>
      <c r="J210">
        <v>0</v>
      </c>
      <c r="K210">
        <v>5</v>
      </c>
      <c r="L210" t="s">
        <v>427</v>
      </c>
      <c r="M210" s="1">
        <v>45322</v>
      </c>
      <c r="N210">
        <f>YEAR(Raw_Data[[#This Row],[join_date_UK]])</f>
        <v>2024</v>
      </c>
    </row>
    <row r="211" spans="1:14" x14ac:dyDescent="0.3">
      <c r="A211" t="s">
        <v>428</v>
      </c>
      <c r="B211" t="s">
        <v>39</v>
      </c>
      <c r="C211">
        <v>37</v>
      </c>
      <c r="D211" t="s">
        <v>23</v>
      </c>
      <c r="E211" t="s">
        <v>94</v>
      </c>
      <c r="F211">
        <v>12</v>
      </c>
      <c r="G211">
        <v>456</v>
      </c>
      <c r="H211">
        <v>0.05</v>
      </c>
      <c r="I211">
        <v>2</v>
      </c>
      <c r="J211">
        <v>0</v>
      </c>
      <c r="K211">
        <v>9.99</v>
      </c>
      <c r="L211" t="s">
        <v>429</v>
      </c>
      <c r="M211" s="1">
        <v>44692</v>
      </c>
      <c r="N211">
        <f>YEAR(Raw_Data[[#This Row],[join_date_UK]])</f>
        <v>2022</v>
      </c>
    </row>
    <row r="212" spans="1:14" x14ac:dyDescent="0.3">
      <c r="A212" t="s">
        <v>430</v>
      </c>
      <c r="B212" t="s">
        <v>14</v>
      </c>
      <c r="C212">
        <v>29</v>
      </c>
      <c r="D212" t="s">
        <v>23</v>
      </c>
      <c r="E212" t="s">
        <v>94</v>
      </c>
      <c r="F212">
        <v>9.6</v>
      </c>
      <c r="G212">
        <v>482</v>
      </c>
      <c r="H212">
        <v>0.3</v>
      </c>
      <c r="I212">
        <v>2</v>
      </c>
      <c r="J212">
        <v>1</v>
      </c>
      <c r="K212">
        <v>9.99</v>
      </c>
      <c r="L212" t="s">
        <v>431</v>
      </c>
      <c r="M212" s="1">
        <v>44673</v>
      </c>
      <c r="N212">
        <f>YEAR(Raw_Data[[#This Row],[join_date_UK]])</f>
        <v>2022</v>
      </c>
    </row>
    <row r="213" spans="1:14" x14ac:dyDescent="0.3">
      <c r="A213" t="s">
        <v>432</v>
      </c>
      <c r="B213" t="s">
        <v>39</v>
      </c>
      <c r="C213">
        <v>61</v>
      </c>
      <c r="D213" t="s">
        <v>30</v>
      </c>
      <c r="E213" t="s">
        <v>94</v>
      </c>
      <c r="F213">
        <v>6.9</v>
      </c>
      <c r="G213">
        <v>519</v>
      </c>
      <c r="H213">
        <v>0.15</v>
      </c>
      <c r="I213">
        <v>2</v>
      </c>
      <c r="J213">
        <v>1</v>
      </c>
      <c r="K213">
        <v>12.99</v>
      </c>
      <c r="L213" t="s">
        <v>433</v>
      </c>
      <c r="M213" s="1">
        <v>44908</v>
      </c>
      <c r="N213">
        <f>YEAR(Raw_Data[[#This Row],[join_date_UK]])</f>
        <v>2022</v>
      </c>
    </row>
    <row r="214" spans="1:14" x14ac:dyDescent="0.3">
      <c r="A214" t="s">
        <v>434</v>
      </c>
      <c r="B214" t="s">
        <v>19</v>
      </c>
      <c r="C214">
        <v>53</v>
      </c>
      <c r="D214" t="s">
        <v>30</v>
      </c>
      <c r="E214" t="s">
        <v>94</v>
      </c>
      <c r="F214">
        <v>1.5</v>
      </c>
      <c r="G214">
        <v>466</v>
      </c>
      <c r="H214">
        <v>0.25</v>
      </c>
      <c r="I214">
        <v>2</v>
      </c>
      <c r="J214">
        <v>0</v>
      </c>
      <c r="K214">
        <v>9.99</v>
      </c>
      <c r="L214" t="s">
        <v>435</v>
      </c>
      <c r="M214" s="1">
        <v>45481</v>
      </c>
      <c r="N214">
        <f>YEAR(Raw_Data[[#This Row],[join_date_UK]])</f>
        <v>2024</v>
      </c>
    </row>
    <row r="215" spans="1:14" x14ac:dyDescent="0.3">
      <c r="A215" t="s">
        <v>436</v>
      </c>
      <c r="B215" t="s">
        <v>44</v>
      </c>
      <c r="C215">
        <v>37</v>
      </c>
      <c r="D215" t="s">
        <v>15</v>
      </c>
      <c r="E215" t="s">
        <v>94</v>
      </c>
      <c r="F215">
        <v>12.4</v>
      </c>
      <c r="G215">
        <v>531</v>
      </c>
      <c r="H215">
        <v>0.1</v>
      </c>
      <c r="I215">
        <v>2</v>
      </c>
      <c r="J215">
        <v>0</v>
      </c>
      <c r="K215">
        <v>9.99</v>
      </c>
      <c r="L215" t="s">
        <v>437</v>
      </c>
      <c r="M215" s="1">
        <v>45091</v>
      </c>
      <c r="N215">
        <f>YEAR(Raw_Data[[#This Row],[join_date_UK]])</f>
        <v>2023</v>
      </c>
    </row>
    <row r="216" spans="1:14" x14ac:dyDescent="0.3">
      <c r="A216" t="s">
        <v>438</v>
      </c>
      <c r="B216" t="s">
        <v>22</v>
      </c>
      <c r="C216">
        <v>39</v>
      </c>
      <c r="D216" t="s">
        <v>34</v>
      </c>
      <c r="E216" t="s">
        <v>94</v>
      </c>
      <c r="F216">
        <v>8</v>
      </c>
      <c r="G216">
        <v>486</v>
      </c>
      <c r="H216">
        <v>0.25</v>
      </c>
      <c r="I216">
        <v>2</v>
      </c>
      <c r="J216">
        <v>1</v>
      </c>
      <c r="K216">
        <v>9.99</v>
      </c>
      <c r="L216" t="s">
        <v>439</v>
      </c>
      <c r="M216" s="1">
        <v>45400</v>
      </c>
      <c r="N216">
        <f>YEAR(Raw_Data[[#This Row],[join_date_UK]])</f>
        <v>2024</v>
      </c>
    </row>
    <row r="217" spans="1:14" x14ac:dyDescent="0.3">
      <c r="A217" t="s">
        <v>440</v>
      </c>
      <c r="B217" t="s">
        <v>14</v>
      </c>
      <c r="C217">
        <v>17</v>
      </c>
      <c r="D217" t="s">
        <v>23</v>
      </c>
      <c r="E217" t="s">
        <v>94</v>
      </c>
      <c r="F217">
        <v>11.1</v>
      </c>
      <c r="G217">
        <v>511</v>
      </c>
      <c r="H217">
        <v>0.05</v>
      </c>
      <c r="I217">
        <v>2</v>
      </c>
      <c r="J217">
        <v>0</v>
      </c>
      <c r="K217">
        <v>5</v>
      </c>
      <c r="L217" t="s">
        <v>441</v>
      </c>
      <c r="M217" s="1">
        <v>45427</v>
      </c>
      <c r="N217">
        <f>YEAR(Raw_Data[[#This Row],[join_date_UK]])</f>
        <v>2024</v>
      </c>
    </row>
    <row r="218" spans="1:14" x14ac:dyDescent="0.3">
      <c r="A218" t="s">
        <v>442</v>
      </c>
      <c r="B218" t="s">
        <v>26</v>
      </c>
      <c r="C218">
        <v>20</v>
      </c>
      <c r="D218" t="s">
        <v>34</v>
      </c>
      <c r="E218" t="s">
        <v>94</v>
      </c>
      <c r="F218">
        <v>16.600000000000001</v>
      </c>
      <c r="G218">
        <v>501</v>
      </c>
      <c r="H218">
        <v>0.2</v>
      </c>
      <c r="I218">
        <v>2</v>
      </c>
      <c r="J218">
        <v>0</v>
      </c>
      <c r="K218">
        <v>5</v>
      </c>
      <c r="L218" t="s">
        <v>443</v>
      </c>
      <c r="M218" s="1">
        <v>45489</v>
      </c>
      <c r="N218">
        <f>YEAR(Raw_Data[[#This Row],[join_date_UK]])</f>
        <v>2024</v>
      </c>
    </row>
    <row r="219" spans="1:14" x14ac:dyDescent="0.3">
      <c r="A219" t="s">
        <v>444</v>
      </c>
      <c r="B219" t="s">
        <v>39</v>
      </c>
      <c r="C219">
        <v>42</v>
      </c>
      <c r="D219" t="s">
        <v>34</v>
      </c>
      <c r="E219" t="s">
        <v>94</v>
      </c>
      <c r="F219">
        <v>13.2</v>
      </c>
      <c r="G219">
        <v>458</v>
      </c>
      <c r="H219">
        <v>0.15</v>
      </c>
      <c r="I219">
        <v>2</v>
      </c>
      <c r="J219">
        <v>1</v>
      </c>
      <c r="L219" t="s">
        <v>445</v>
      </c>
      <c r="M219" s="1">
        <v>45122</v>
      </c>
      <c r="N219">
        <f>YEAR(Raw_Data[[#This Row],[join_date_UK]])</f>
        <v>2023</v>
      </c>
    </row>
    <row r="220" spans="1:14" x14ac:dyDescent="0.3">
      <c r="A220" t="s">
        <v>446</v>
      </c>
      <c r="B220" t="s">
        <v>22</v>
      </c>
      <c r="C220">
        <v>44</v>
      </c>
      <c r="D220" t="s">
        <v>34</v>
      </c>
      <c r="E220" t="s">
        <v>94</v>
      </c>
      <c r="F220">
        <v>15.6</v>
      </c>
      <c r="G220">
        <v>521</v>
      </c>
      <c r="H220">
        <v>0.25</v>
      </c>
      <c r="I220">
        <v>2</v>
      </c>
      <c r="J220">
        <v>1</v>
      </c>
      <c r="K220">
        <v>7.99</v>
      </c>
      <c r="L220" t="s">
        <v>447</v>
      </c>
      <c r="M220" s="1">
        <v>44738</v>
      </c>
      <c r="N220">
        <f>YEAR(Raw_Data[[#This Row],[join_date_UK]])</f>
        <v>2022</v>
      </c>
    </row>
    <row r="221" spans="1:14" x14ac:dyDescent="0.3">
      <c r="A221" t="s">
        <v>448</v>
      </c>
      <c r="B221" t="s">
        <v>39</v>
      </c>
      <c r="C221">
        <v>35</v>
      </c>
      <c r="D221" t="s">
        <v>34</v>
      </c>
      <c r="E221" t="s">
        <v>94</v>
      </c>
      <c r="F221">
        <v>11.3</v>
      </c>
      <c r="G221">
        <v>504</v>
      </c>
      <c r="H221">
        <v>0.1</v>
      </c>
      <c r="I221">
        <v>2</v>
      </c>
      <c r="J221">
        <v>0</v>
      </c>
      <c r="K221">
        <v>5</v>
      </c>
      <c r="L221" t="s">
        <v>449</v>
      </c>
      <c r="M221" s="1">
        <v>44694</v>
      </c>
      <c r="N221">
        <f>YEAR(Raw_Data[[#This Row],[join_date_UK]])</f>
        <v>2022</v>
      </c>
    </row>
    <row r="222" spans="1:14" x14ac:dyDescent="0.3">
      <c r="A222" t="s">
        <v>450</v>
      </c>
      <c r="B222" t="s">
        <v>22</v>
      </c>
      <c r="C222">
        <v>14</v>
      </c>
      <c r="D222" t="s">
        <v>23</v>
      </c>
      <c r="E222" t="s">
        <v>94</v>
      </c>
      <c r="F222">
        <v>6.3</v>
      </c>
      <c r="G222">
        <v>491</v>
      </c>
      <c r="H222">
        <v>0.2</v>
      </c>
      <c r="I222">
        <v>2</v>
      </c>
      <c r="J222">
        <v>0</v>
      </c>
      <c r="K222">
        <v>7.99</v>
      </c>
      <c r="L222" t="s">
        <v>451</v>
      </c>
      <c r="M222" s="1">
        <v>45312</v>
      </c>
      <c r="N222">
        <f>YEAR(Raw_Data[[#This Row],[join_date_UK]])</f>
        <v>2024</v>
      </c>
    </row>
    <row r="223" spans="1:14" x14ac:dyDescent="0.3">
      <c r="A223" t="s">
        <v>452</v>
      </c>
      <c r="B223" t="s">
        <v>22</v>
      </c>
      <c r="C223">
        <v>22</v>
      </c>
      <c r="D223" t="s">
        <v>23</v>
      </c>
      <c r="E223" t="s">
        <v>94</v>
      </c>
      <c r="F223">
        <v>10.6</v>
      </c>
      <c r="G223">
        <v>537</v>
      </c>
      <c r="H223">
        <v>0.1</v>
      </c>
      <c r="I223">
        <v>2</v>
      </c>
      <c r="J223">
        <v>1</v>
      </c>
      <c r="K223">
        <v>12.99</v>
      </c>
      <c r="L223" t="s">
        <v>357</v>
      </c>
      <c r="M223" s="1">
        <v>44960</v>
      </c>
      <c r="N223">
        <f>YEAR(Raw_Data[[#This Row],[join_date_UK]])</f>
        <v>2023</v>
      </c>
    </row>
    <row r="224" spans="1:14" x14ac:dyDescent="0.3">
      <c r="A224" t="s">
        <v>453</v>
      </c>
      <c r="B224" t="s">
        <v>44</v>
      </c>
      <c r="C224">
        <v>34</v>
      </c>
      <c r="D224" t="s">
        <v>23</v>
      </c>
      <c r="E224" t="s">
        <v>94</v>
      </c>
      <c r="F224">
        <v>19.5</v>
      </c>
      <c r="G224">
        <v>533</v>
      </c>
      <c r="H224">
        <v>0.05</v>
      </c>
      <c r="I224">
        <v>2</v>
      </c>
      <c r="J224">
        <v>0</v>
      </c>
      <c r="L224" t="s">
        <v>270</v>
      </c>
      <c r="M224" s="1">
        <v>45057</v>
      </c>
      <c r="N224">
        <f>YEAR(Raw_Data[[#This Row],[join_date_UK]])</f>
        <v>2023</v>
      </c>
    </row>
    <row r="225" spans="1:14" x14ac:dyDescent="0.3">
      <c r="A225" t="s">
        <v>454</v>
      </c>
      <c r="B225" t="s">
        <v>39</v>
      </c>
      <c r="C225">
        <v>19</v>
      </c>
      <c r="D225" t="s">
        <v>23</v>
      </c>
      <c r="E225" t="s">
        <v>16</v>
      </c>
      <c r="F225">
        <v>8.9</v>
      </c>
      <c r="G225">
        <v>528</v>
      </c>
      <c r="H225">
        <v>0.1</v>
      </c>
      <c r="I225">
        <v>3</v>
      </c>
      <c r="J225">
        <v>0</v>
      </c>
      <c r="K225">
        <v>9.99</v>
      </c>
      <c r="L225" t="s">
        <v>455</v>
      </c>
      <c r="M225" s="1">
        <v>45380</v>
      </c>
      <c r="N225">
        <f>YEAR(Raw_Data[[#This Row],[join_date_UK]])</f>
        <v>2024</v>
      </c>
    </row>
    <row r="226" spans="1:14" x14ac:dyDescent="0.3">
      <c r="A226" t="s">
        <v>456</v>
      </c>
      <c r="B226" t="s">
        <v>39</v>
      </c>
      <c r="C226">
        <v>30</v>
      </c>
      <c r="D226" t="s">
        <v>34</v>
      </c>
      <c r="E226" t="s">
        <v>16</v>
      </c>
      <c r="F226">
        <v>8.9</v>
      </c>
      <c r="G226">
        <v>493</v>
      </c>
      <c r="H226">
        <v>0.05</v>
      </c>
      <c r="I226">
        <v>3</v>
      </c>
      <c r="J226">
        <v>0</v>
      </c>
      <c r="K226">
        <v>9.99</v>
      </c>
      <c r="L226" t="s">
        <v>457</v>
      </c>
      <c r="M226" s="1">
        <v>45462</v>
      </c>
      <c r="N226">
        <f>YEAR(Raw_Data[[#This Row],[join_date_UK]])</f>
        <v>2024</v>
      </c>
    </row>
    <row r="227" spans="1:14" x14ac:dyDescent="0.3">
      <c r="A227" t="s">
        <v>458</v>
      </c>
      <c r="B227" t="s">
        <v>39</v>
      </c>
      <c r="C227">
        <v>27</v>
      </c>
      <c r="D227" t="s">
        <v>34</v>
      </c>
      <c r="E227" t="s">
        <v>16</v>
      </c>
      <c r="F227">
        <v>23.4</v>
      </c>
      <c r="G227">
        <v>536</v>
      </c>
      <c r="H227">
        <v>0.15</v>
      </c>
      <c r="I227">
        <v>3</v>
      </c>
      <c r="J227">
        <v>0</v>
      </c>
      <c r="L227" t="s">
        <v>198</v>
      </c>
      <c r="M227" s="1">
        <v>44910</v>
      </c>
      <c r="N227">
        <f>YEAR(Raw_Data[[#This Row],[join_date_UK]])</f>
        <v>2022</v>
      </c>
    </row>
    <row r="228" spans="1:14" x14ac:dyDescent="0.3">
      <c r="A228" t="s">
        <v>459</v>
      </c>
      <c r="B228" t="s">
        <v>44</v>
      </c>
      <c r="C228">
        <v>37</v>
      </c>
      <c r="D228" t="s">
        <v>34</v>
      </c>
      <c r="E228" t="s">
        <v>16</v>
      </c>
      <c r="F228">
        <v>10.1</v>
      </c>
      <c r="G228">
        <v>510</v>
      </c>
      <c r="H228">
        <v>0.1</v>
      </c>
      <c r="I228">
        <v>3</v>
      </c>
      <c r="J228">
        <v>0</v>
      </c>
      <c r="K228">
        <v>7.99</v>
      </c>
      <c r="L228" t="s">
        <v>451</v>
      </c>
      <c r="M228" s="1">
        <v>45312</v>
      </c>
      <c r="N228">
        <f>YEAR(Raw_Data[[#This Row],[join_date_UK]])</f>
        <v>2024</v>
      </c>
    </row>
    <row r="229" spans="1:14" x14ac:dyDescent="0.3">
      <c r="A229" t="s">
        <v>460</v>
      </c>
      <c r="B229" t="s">
        <v>39</v>
      </c>
      <c r="C229">
        <v>21</v>
      </c>
      <c r="D229" t="s">
        <v>23</v>
      </c>
      <c r="E229" t="s">
        <v>16</v>
      </c>
      <c r="F229">
        <v>16.100000000000001</v>
      </c>
      <c r="G229">
        <v>497</v>
      </c>
      <c r="H229">
        <v>0.2</v>
      </c>
      <c r="I229">
        <v>3</v>
      </c>
      <c r="J229">
        <v>0</v>
      </c>
      <c r="K229">
        <v>9.99</v>
      </c>
      <c r="L229" t="s">
        <v>396</v>
      </c>
      <c r="M229" s="1">
        <v>44957</v>
      </c>
      <c r="N229">
        <f>YEAR(Raw_Data[[#This Row],[join_date_UK]])</f>
        <v>2023</v>
      </c>
    </row>
    <row r="230" spans="1:14" x14ac:dyDescent="0.3">
      <c r="A230" t="s">
        <v>461</v>
      </c>
      <c r="B230" t="s">
        <v>33</v>
      </c>
      <c r="C230">
        <v>51</v>
      </c>
      <c r="D230" t="s">
        <v>23</v>
      </c>
      <c r="E230" t="s">
        <v>16</v>
      </c>
      <c r="F230">
        <v>7.5</v>
      </c>
      <c r="G230">
        <v>487</v>
      </c>
      <c r="H230">
        <v>0.3</v>
      </c>
      <c r="I230">
        <v>3</v>
      </c>
      <c r="J230">
        <v>0</v>
      </c>
      <c r="K230">
        <v>9.99</v>
      </c>
      <c r="L230" t="s">
        <v>462</v>
      </c>
      <c r="M230" s="1">
        <v>44891</v>
      </c>
      <c r="N230">
        <f>YEAR(Raw_Data[[#This Row],[join_date_UK]])</f>
        <v>2022</v>
      </c>
    </row>
    <row r="231" spans="1:14" x14ac:dyDescent="0.3">
      <c r="A231" t="s">
        <v>463</v>
      </c>
      <c r="B231" t="s">
        <v>39</v>
      </c>
      <c r="C231">
        <v>14</v>
      </c>
      <c r="D231" t="s">
        <v>23</v>
      </c>
      <c r="E231" t="s">
        <v>16</v>
      </c>
      <c r="F231">
        <v>12.4</v>
      </c>
      <c r="G231">
        <v>490</v>
      </c>
      <c r="H231">
        <v>0.1</v>
      </c>
      <c r="I231">
        <v>3</v>
      </c>
      <c r="J231">
        <v>0</v>
      </c>
      <c r="L231" t="s">
        <v>464</v>
      </c>
      <c r="M231" s="1">
        <v>44903</v>
      </c>
      <c r="N231">
        <f>YEAR(Raw_Data[[#This Row],[join_date_UK]])</f>
        <v>2022</v>
      </c>
    </row>
    <row r="232" spans="1:14" x14ac:dyDescent="0.3">
      <c r="A232" t="s">
        <v>465</v>
      </c>
      <c r="B232" t="s">
        <v>39</v>
      </c>
      <c r="C232">
        <v>30</v>
      </c>
      <c r="D232" t="s">
        <v>15</v>
      </c>
      <c r="E232" t="s">
        <v>16</v>
      </c>
      <c r="F232">
        <v>7</v>
      </c>
      <c r="G232">
        <v>494</v>
      </c>
      <c r="H232">
        <v>0.2</v>
      </c>
      <c r="I232">
        <v>3</v>
      </c>
      <c r="J232">
        <v>1</v>
      </c>
      <c r="K232">
        <v>9.99</v>
      </c>
      <c r="L232" t="s">
        <v>466</v>
      </c>
      <c r="M232" s="1">
        <v>44753</v>
      </c>
      <c r="N232">
        <f>YEAR(Raw_Data[[#This Row],[join_date_UK]])</f>
        <v>2022</v>
      </c>
    </row>
    <row r="233" spans="1:14" x14ac:dyDescent="0.3">
      <c r="A233" t="s">
        <v>467</v>
      </c>
      <c r="B233" t="s">
        <v>39</v>
      </c>
      <c r="C233">
        <v>35</v>
      </c>
      <c r="D233" t="s">
        <v>30</v>
      </c>
      <c r="E233" t="s">
        <v>16</v>
      </c>
      <c r="F233">
        <v>9.1999999999999993</v>
      </c>
      <c r="G233">
        <v>491</v>
      </c>
      <c r="H233">
        <v>0.05</v>
      </c>
      <c r="I233">
        <v>3</v>
      </c>
      <c r="J233">
        <v>0</v>
      </c>
      <c r="L233" t="s">
        <v>468</v>
      </c>
      <c r="M233" s="1">
        <v>44912</v>
      </c>
      <c r="N233">
        <f>YEAR(Raw_Data[[#This Row],[join_date_UK]])</f>
        <v>2022</v>
      </c>
    </row>
    <row r="234" spans="1:14" x14ac:dyDescent="0.3">
      <c r="A234" t="s">
        <v>469</v>
      </c>
      <c r="B234" t="s">
        <v>26</v>
      </c>
      <c r="C234">
        <v>40</v>
      </c>
      <c r="D234" t="s">
        <v>34</v>
      </c>
      <c r="E234" t="s">
        <v>16</v>
      </c>
      <c r="F234">
        <v>5.7</v>
      </c>
      <c r="G234">
        <v>453</v>
      </c>
      <c r="H234">
        <v>0.1</v>
      </c>
      <c r="I234">
        <v>3</v>
      </c>
      <c r="J234">
        <v>1</v>
      </c>
      <c r="K234">
        <v>7.99</v>
      </c>
      <c r="L234" t="s">
        <v>470</v>
      </c>
      <c r="M234" s="1">
        <v>45494</v>
      </c>
      <c r="N234">
        <f>YEAR(Raw_Data[[#This Row],[join_date_UK]])</f>
        <v>2024</v>
      </c>
    </row>
    <row r="235" spans="1:14" x14ac:dyDescent="0.3">
      <c r="A235" t="s">
        <v>471</v>
      </c>
      <c r="B235" t="s">
        <v>29</v>
      </c>
      <c r="C235">
        <v>49</v>
      </c>
      <c r="D235" t="s">
        <v>30</v>
      </c>
      <c r="E235" t="s">
        <v>16</v>
      </c>
      <c r="F235">
        <v>11</v>
      </c>
      <c r="G235">
        <v>486</v>
      </c>
      <c r="H235">
        <v>0.1</v>
      </c>
      <c r="I235">
        <v>3</v>
      </c>
      <c r="J235">
        <v>0</v>
      </c>
      <c r="L235" t="s">
        <v>363</v>
      </c>
      <c r="M235" s="1">
        <v>44717</v>
      </c>
      <c r="N235">
        <f>YEAR(Raw_Data[[#This Row],[join_date_UK]])</f>
        <v>2022</v>
      </c>
    </row>
    <row r="236" spans="1:14" x14ac:dyDescent="0.3">
      <c r="A236" t="s">
        <v>472</v>
      </c>
      <c r="B236" t="s">
        <v>33</v>
      </c>
      <c r="C236">
        <v>33</v>
      </c>
      <c r="D236" t="s">
        <v>23</v>
      </c>
      <c r="E236" t="s">
        <v>16</v>
      </c>
      <c r="F236">
        <v>11.7</v>
      </c>
      <c r="G236">
        <v>469</v>
      </c>
      <c r="H236">
        <v>0.2</v>
      </c>
      <c r="I236">
        <v>3</v>
      </c>
      <c r="J236">
        <v>0</v>
      </c>
      <c r="K236">
        <v>9.99</v>
      </c>
      <c r="L236" t="s">
        <v>60</v>
      </c>
      <c r="M236" s="1">
        <v>45508</v>
      </c>
      <c r="N236">
        <f>YEAR(Raw_Data[[#This Row],[join_date_UK]])</f>
        <v>2024</v>
      </c>
    </row>
    <row r="237" spans="1:14" x14ac:dyDescent="0.3">
      <c r="A237" t="s">
        <v>473</v>
      </c>
      <c r="B237" t="s">
        <v>39</v>
      </c>
      <c r="C237">
        <v>38</v>
      </c>
      <c r="D237" t="s">
        <v>34</v>
      </c>
      <c r="E237" t="s">
        <v>16</v>
      </c>
      <c r="F237">
        <v>16.100000000000001</v>
      </c>
      <c r="G237">
        <v>456</v>
      </c>
      <c r="H237">
        <v>0.1</v>
      </c>
      <c r="I237">
        <v>3</v>
      </c>
      <c r="J237">
        <v>0</v>
      </c>
      <c r="K237">
        <v>7.99</v>
      </c>
      <c r="L237" t="s">
        <v>474</v>
      </c>
      <c r="M237" s="1">
        <v>44679</v>
      </c>
      <c r="N237">
        <f>YEAR(Raw_Data[[#This Row],[join_date_UK]])</f>
        <v>2022</v>
      </c>
    </row>
    <row r="238" spans="1:14" x14ac:dyDescent="0.3">
      <c r="A238" t="s">
        <v>475</v>
      </c>
      <c r="B238" t="s">
        <v>39</v>
      </c>
      <c r="C238">
        <v>15</v>
      </c>
      <c r="D238" t="s">
        <v>34</v>
      </c>
      <c r="E238" t="s">
        <v>16</v>
      </c>
      <c r="F238">
        <v>1.4</v>
      </c>
      <c r="G238">
        <v>511</v>
      </c>
      <c r="H238">
        <v>0.1</v>
      </c>
      <c r="I238">
        <v>3</v>
      </c>
      <c r="J238">
        <v>0</v>
      </c>
      <c r="K238">
        <v>12.99</v>
      </c>
      <c r="L238" t="s">
        <v>476</v>
      </c>
      <c r="M238" s="1">
        <v>44889</v>
      </c>
      <c r="N238">
        <f>YEAR(Raw_Data[[#This Row],[join_date_UK]])</f>
        <v>2022</v>
      </c>
    </row>
    <row r="239" spans="1:14" x14ac:dyDescent="0.3">
      <c r="A239" t="s">
        <v>477</v>
      </c>
      <c r="B239" t="s">
        <v>26</v>
      </c>
      <c r="C239">
        <v>34</v>
      </c>
      <c r="D239" t="s">
        <v>23</v>
      </c>
      <c r="E239" t="s">
        <v>16</v>
      </c>
      <c r="F239">
        <v>5.2</v>
      </c>
      <c r="G239">
        <v>487</v>
      </c>
      <c r="H239">
        <v>0.1</v>
      </c>
      <c r="I239">
        <v>3</v>
      </c>
      <c r="J239">
        <v>0</v>
      </c>
      <c r="K239">
        <v>5</v>
      </c>
      <c r="L239" t="s">
        <v>478</v>
      </c>
      <c r="M239" s="1">
        <v>45315</v>
      </c>
      <c r="N239">
        <f>YEAR(Raw_Data[[#This Row],[join_date_UK]])</f>
        <v>2024</v>
      </c>
    </row>
    <row r="240" spans="1:14" x14ac:dyDescent="0.3">
      <c r="A240" t="s">
        <v>479</v>
      </c>
      <c r="B240" t="s">
        <v>33</v>
      </c>
      <c r="C240">
        <v>19</v>
      </c>
      <c r="D240" t="s">
        <v>23</v>
      </c>
      <c r="E240" t="s">
        <v>16</v>
      </c>
      <c r="F240">
        <v>7.3</v>
      </c>
      <c r="G240">
        <v>519</v>
      </c>
      <c r="H240">
        <v>0.1</v>
      </c>
      <c r="I240">
        <v>3</v>
      </c>
      <c r="J240">
        <v>0</v>
      </c>
      <c r="K240">
        <v>9.99</v>
      </c>
      <c r="L240" t="s">
        <v>480</v>
      </c>
      <c r="M240" s="1">
        <v>44823</v>
      </c>
      <c r="N240">
        <f>YEAR(Raw_Data[[#This Row],[join_date_UK]])</f>
        <v>2022</v>
      </c>
    </row>
    <row r="241" spans="1:14" x14ac:dyDescent="0.3">
      <c r="A241" t="s">
        <v>481</v>
      </c>
      <c r="B241" t="s">
        <v>19</v>
      </c>
      <c r="C241">
        <v>47</v>
      </c>
      <c r="D241" t="s">
        <v>34</v>
      </c>
      <c r="E241" t="s">
        <v>16</v>
      </c>
      <c r="F241">
        <v>5.8</v>
      </c>
      <c r="G241">
        <v>549</v>
      </c>
      <c r="H241">
        <v>0.25</v>
      </c>
      <c r="I241">
        <v>3</v>
      </c>
      <c r="J241">
        <v>0</v>
      </c>
      <c r="K241">
        <v>5</v>
      </c>
      <c r="L241" t="s">
        <v>246</v>
      </c>
      <c r="M241" s="1">
        <v>45054</v>
      </c>
      <c r="N241">
        <f>YEAR(Raw_Data[[#This Row],[join_date_UK]])</f>
        <v>2023</v>
      </c>
    </row>
    <row r="242" spans="1:14" x14ac:dyDescent="0.3">
      <c r="A242" t="s">
        <v>482</v>
      </c>
      <c r="B242" t="s">
        <v>22</v>
      </c>
      <c r="C242">
        <v>45</v>
      </c>
      <c r="D242" t="s">
        <v>30</v>
      </c>
      <c r="E242" t="s">
        <v>16</v>
      </c>
      <c r="F242">
        <v>5.7</v>
      </c>
      <c r="G242">
        <v>484</v>
      </c>
      <c r="H242">
        <v>0.3</v>
      </c>
      <c r="I242">
        <v>3</v>
      </c>
      <c r="J242">
        <v>1</v>
      </c>
      <c r="K242">
        <v>7.99</v>
      </c>
      <c r="L242" t="s">
        <v>483</v>
      </c>
      <c r="M242" s="1">
        <v>44876</v>
      </c>
      <c r="N242">
        <f>YEAR(Raw_Data[[#This Row],[join_date_UK]])</f>
        <v>2022</v>
      </c>
    </row>
    <row r="243" spans="1:14" x14ac:dyDescent="0.3">
      <c r="A243" t="s">
        <v>484</v>
      </c>
      <c r="B243" t="s">
        <v>19</v>
      </c>
      <c r="C243">
        <v>22</v>
      </c>
      <c r="D243" t="s">
        <v>30</v>
      </c>
      <c r="E243" t="s">
        <v>16</v>
      </c>
      <c r="F243">
        <v>14.4</v>
      </c>
      <c r="G243">
        <v>493</v>
      </c>
      <c r="H243">
        <v>0.25</v>
      </c>
      <c r="I243">
        <v>3</v>
      </c>
      <c r="J243">
        <v>1</v>
      </c>
      <c r="K243">
        <v>9.99</v>
      </c>
      <c r="L243" t="s">
        <v>485</v>
      </c>
      <c r="M243" s="1">
        <v>45409</v>
      </c>
      <c r="N243">
        <f>YEAR(Raw_Data[[#This Row],[join_date_UK]])</f>
        <v>2024</v>
      </c>
    </row>
    <row r="244" spans="1:14" x14ac:dyDescent="0.3">
      <c r="A244" t="s">
        <v>486</v>
      </c>
      <c r="B244" t="s">
        <v>29</v>
      </c>
      <c r="C244">
        <v>24</v>
      </c>
      <c r="D244" t="s">
        <v>23</v>
      </c>
      <c r="E244" t="s">
        <v>16</v>
      </c>
      <c r="F244">
        <v>7.8</v>
      </c>
      <c r="G244">
        <v>486</v>
      </c>
      <c r="H244">
        <v>0.3</v>
      </c>
      <c r="I244">
        <v>3</v>
      </c>
      <c r="J244">
        <v>0</v>
      </c>
      <c r="K244">
        <v>12.99</v>
      </c>
      <c r="L244" t="s">
        <v>487</v>
      </c>
      <c r="M244" s="1">
        <v>44805</v>
      </c>
      <c r="N244">
        <f>YEAR(Raw_Data[[#This Row],[join_date_UK]])</f>
        <v>2022</v>
      </c>
    </row>
    <row r="245" spans="1:14" x14ac:dyDescent="0.3">
      <c r="A245" t="s">
        <v>488</v>
      </c>
      <c r="B245" t="s">
        <v>39</v>
      </c>
      <c r="C245">
        <v>40</v>
      </c>
      <c r="D245" t="s">
        <v>34</v>
      </c>
      <c r="E245" t="s">
        <v>16</v>
      </c>
      <c r="F245">
        <v>0.7</v>
      </c>
      <c r="G245">
        <v>534</v>
      </c>
      <c r="H245">
        <v>0.1</v>
      </c>
      <c r="I245">
        <v>3</v>
      </c>
      <c r="J245">
        <v>0</v>
      </c>
      <c r="L245" t="s">
        <v>489</v>
      </c>
      <c r="M245" s="1">
        <v>44665</v>
      </c>
      <c r="N245">
        <f>YEAR(Raw_Data[[#This Row],[join_date_UK]])</f>
        <v>2022</v>
      </c>
    </row>
    <row r="246" spans="1:14" x14ac:dyDescent="0.3">
      <c r="A246" t="s">
        <v>490</v>
      </c>
      <c r="B246" t="s">
        <v>73</v>
      </c>
      <c r="C246">
        <v>63</v>
      </c>
      <c r="D246" t="s">
        <v>34</v>
      </c>
      <c r="E246" t="s">
        <v>16</v>
      </c>
      <c r="F246">
        <v>16.100000000000001</v>
      </c>
      <c r="G246">
        <v>522</v>
      </c>
      <c r="H246">
        <v>0.1</v>
      </c>
      <c r="I246">
        <v>3</v>
      </c>
      <c r="J246">
        <v>1</v>
      </c>
      <c r="K246">
        <v>7.99</v>
      </c>
      <c r="L246" t="s">
        <v>491</v>
      </c>
      <c r="M246" s="1">
        <v>44874</v>
      </c>
      <c r="N246">
        <f>YEAR(Raw_Data[[#This Row],[join_date_UK]])</f>
        <v>2022</v>
      </c>
    </row>
    <row r="247" spans="1:14" x14ac:dyDescent="0.3">
      <c r="A247" t="s">
        <v>492</v>
      </c>
      <c r="B247" t="s">
        <v>22</v>
      </c>
      <c r="C247">
        <v>64</v>
      </c>
      <c r="D247" t="s">
        <v>34</v>
      </c>
      <c r="E247" t="s">
        <v>16</v>
      </c>
      <c r="F247">
        <v>13.3</v>
      </c>
      <c r="G247">
        <v>501</v>
      </c>
      <c r="H247">
        <v>0.25</v>
      </c>
      <c r="I247">
        <v>3</v>
      </c>
      <c r="J247">
        <v>0</v>
      </c>
      <c r="K247">
        <v>7.99</v>
      </c>
      <c r="L247" t="s">
        <v>493</v>
      </c>
      <c r="M247" s="1">
        <v>45486</v>
      </c>
      <c r="N247">
        <f>YEAR(Raw_Data[[#This Row],[join_date_UK]])</f>
        <v>2024</v>
      </c>
    </row>
    <row r="248" spans="1:14" x14ac:dyDescent="0.3">
      <c r="A248" t="s">
        <v>494</v>
      </c>
      <c r="B248" t="s">
        <v>29</v>
      </c>
      <c r="C248">
        <v>19</v>
      </c>
      <c r="D248" t="s">
        <v>34</v>
      </c>
      <c r="E248" t="s">
        <v>16</v>
      </c>
      <c r="F248">
        <v>0.8</v>
      </c>
      <c r="G248">
        <v>502</v>
      </c>
      <c r="H248">
        <v>0.15</v>
      </c>
      <c r="I248">
        <v>3</v>
      </c>
      <c r="J248">
        <v>0</v>
      </c>
      <c r="K248">
        <v>7.99</v>
      </c>
      <c r="L248" t="s">
        <v>495</v>
      </c>
      <c r="M248" s="1">
        <v>44861</v>
      </c>
      <c r="N248">
        <f>YEAR(Raw_Data[[#This Row],[join_date_UK]])</f>
        <v>2022</v>
      </c>
    </row>
    <row r="249" spans="1:14" x14ac:dyDescent="0.3">
      <c r="A249" t="s">
        <v>496</v>
      </c>
      <c r="B249" t="s">
        <v>39</v>
      </c>
      <c r="C249">
        <v>30</v>
      </c>
      <c r="D249" t="s">
        <v>30</v>
      </c>
      <c r="E249" t="s">
        <v>16</v>
      </c>
      <c r="F249">
        <v>15.7</v>
      </c>
      <c r="G249">
        <v>494</v>
      </c>
      <c r="H249">
        <v>0.05</v>
      </c>
      <c r="I249">
        <v>3</v>
      </c>
      <c r="J249">
        <v>0</v>
      </c>
      <c r="L249" t="s">
        <v>497</v>
      </c>
      <c r="M249" s="1">
        <v>44693</v>
      </c>
      <c r="N249">
        <f>YEAR(Raw_Data[[#This Row],[join_date_UK]])</f>
        <v>2022</v>
      </c>
    </row>
    <row r="250" spans="1:14" x14ac:dyDescent="0.3">
      <c r="A250" t="s">
        <v>498</v>
      </c>
      <c r="B250" t="s">
        <v>19</v>
      </c>
      <c r="C250">
        <v>24</v>
      </c>
      <c r="D250" t="s">
        <v>34</v>
      </c>
      <c r="E250" t="s">
        <v>16</v>
      </c>
      <c r="F250">
        <v>6.7</v>
      </c>
      <c r="G250">
        <v>505</v>
      </c>
      <c r="H250">
        <v>0.3</v>
      </c>
      <c r="I250">
        <v>3</v>
      </c>
      <c r="J250">
        <v>1</v>
      </c>
      <c r="K250">
        <v>9.99</v>
      </c>
      <c r="L250" t="s">
        <v>499</v>
      </c>
      <c r="M250" s="1">
        <v>44661</v>
      </c>
      <c r="N250">
        <f>YEAR(Raw_Data[[#This Row],[join_date_UK]])</f>
        <v>2022</v>
      </c>
    </row>
    <row r="251" spans="1:14" x14ac:dyDescent="0.3">
      <c r="A251" t="s">
        <v>500</v>
      </c>
      <c r="B251" t="s">
        <v>44</v>
      </c>
      <c r="C251">
        <v>64</v>
      </c>
      <c r="D251" t="s">
        <v>15</v>
      </c>
      <c r="E251" t="s">
        <v>16</v>
      </c>
      <c r="F251">
        <v>19.8</v>
      </c>
      <c r="G251">
        <v>480</v>
      </c>
      <c r="H251">
        <v>0.1</v>
      </c>
      <c r="I251">
        <v>3</v>
      </c>
      <c r="J251">
        <v>0</v>
      </c>
      <c r="K251">
        <v>7.99</v>
      </c>
      <c r="L251" t="s">
        <v>501</v>
      </c>
      <c r="M251" s="1">
        <v>45252</v>
      </c>
      <c r="N251">
        <f>YEAR(Raw_Data[[#This Row],[join_date_UK]])</f>
        <v>2023</v>
      </c>
    </row>
    <row r="252" spans="1:14" x14ac:dyDescent="0.3">
      <c r="A252" t="s">
        <v>502</v>
      </c>
      <c r="B252" t="s">
        <v>44</v>
      </c>
      <c r="C252">
        <v>29</v>
      </c>
      <c r="D252" t="s">
        <v>34</v>
      </c>
      <c r="E252" t="s">
        <v>16</v>
      </c>
      <c r="F252">
        <v>14.2</v>
      </c>
      <c r="G252">
        <v>487</v>
      </c>
      <c r="H252">
        <v>0.3</v>
      </c>
      <c r="I252">
        <v>3</v>
      </c>
      <c r="J252">
        <v>0</v>
      </c>
      <c r="K252">
        <v>9.99</v>
      </c>
      <c r="L252" t="s">
        <v>503</v>
      </c>
      <c r="M252" s="1">
        <v>45038</v>
      </c>
      <c r="N252">
        <f>YEAR(Raw_Data[[#This Row],[join_date_UK]])</f>
        <v>2023</v>
      </c>
    </row>
    <row r="253" spans="1:14" x14ac:dyDescent="0.3">
      <c r="A253" t="s">
        <v>504</v>
      </c>
      <c r="B253" t="s">
        <v>22</v>
      </c>
      <c r="C253">
        <v>15</v>
      </c>
      <c r="D253" t="s">
        <v>34</v>
      </c>
      <c r="E253" t="s">
        <v>16</v>
      </c>
      <c r="F253">
        <v>7.9</v>
      </c>
      <c r="G253">
        <v>528</v>
      </c>
      <c r="H253">
        <v>0.1</v>
      </c>
      <c r="I253">
        <v>3</v>
      </c>
      <c r="J253">
        <v>0</v>
      </c>
      <c r="K253">
        <v>7.99</v>
      </c>
      <c r="L253" t="s">
        <v>505</v>
      </c>
      <c r="M253" s="1">
        <v>45103</v>
      </c>
      <c r="N253">
        <f>YEAR(Raw_Data[[#This Row],[join_date_UK]])</f>
        <v>2023</v>
      </c>
    </row>
    <row r="254" spans="1:14" x14ac:dyDescent="0.3">
      <c r="A254" t="s">
        <v>506</v>
      </c>
      <c r="B254" t="s">
        <v>39</v>
      </c>
      <c r="C254">
        <v>61</v>
      </c>
      <c r="D254" t="s">
        <v>34</v>
      </c>
      <c r="E254" t="s">
        <v>16</v>
      </c>
      <c r="F254">
        <v>19</v>
      </c>
      <c r="G254">
        <v>451</v>
      </c>
      <c r="H254">
        <v>0.15</v>
      </c>
      <c r="I254">
        <v>3</v>
      </c>
      <c r="J254">
        <v>0</v>
      </c>
      <c r="K254">
        <v>9.99</v>
      </c>
      <c r="L254" t="s">
        <v>507</v>
      </c>
      <c r="M254" s="1">
        <v>45001</v>
      </c>
      <c r="N254">
        <f>YEAR(Raw_Data[[#This Row],[join_date_UK]])</f>
        <v>2023</v>
      </c>
    </row>
    <row r="255" spans="1:14" x14ac:dyDescent="0.3">
      <c r="A255" t="s">
        <v>508</v>
      </c>
      <c r="B255" t="s">
        <v>39</v>
      </c>
      <c r="C255">
        <v>52</v>
      </c>
      <c r="D255" t="s">
        <v>23</v>
      </c>
      <c r="E255" t="s">
        <v>16</v>
      </c>
      <c r="F255">
        <v>9.5</v>
      </c>
      <c r="G255">
        <v>461</v>
      </c>
      <c r="H255">
        <v>0.2</v>
      </c>
      <c r="I255">
        <v>3</v>
      </c>
      <c r="J255">
        <v>1</v>
      </c>
      <c r="K255">
        <v>5</v>
      </c>
      <c r="L255" t="s">
        <v>509</v>
      </c>
      <c r="M255" s="1">
        <v>44831</v>
      </c>
      <c r="N255">
        <f>YEAR(Raw_Data[[#This Row],[join_date_UK]])</f>
        <v>2022</v>
      </c>
    </row>
    <row r="256" spans="1:14" x14ac:dyDescent="0.3">
      <c r="A256" t="s">
        <v>510</v>
      </c>
      <c r="B256" t="s">
        <v>22</v>
      </c>
      <c r="C256">
        <v>42</v>
      </c>
      <c r="D256" t="s">
        <v>23</v>
      </c>
      <c r="E256" t="s">
        <v>16</v>
      </c>
      <c r="F256">
        <v>11.7</v>
      </c>
      <c r="G256">
        <v>477</v>
      </c>
      <c r="H256">
        <v>0.2</v>
      </c>
      <c r="I256">
        <v>3</v>
      </c>
      <c r="J256">
        <v>0</v>
      </c>
      <c r="K256">
        <v>9.99</v>
      </c>
      <c r="L256" t="s">
        <v>511</v>
      </c>
      <c r="M256" s="1">
        <v>45278</v>
      </c>
      <c r="N256">
        <f>YEAR(Raw_Data[[#This Row],[join_date_UK]])</f>
        <v>2023</v>
      </c>
    </row>
    <row r="257" spans="1:14" x14ac:dyDescent="0.3">
      <c r="A257" t="s">
        <v>512</v>
      </c>
      <c r="B257" t="s">
        <v>19</v>
      </c>
      <c r="C257">
        <v>47</v>
      </c>
      <c r="D257" t="s">
        <v>34</v>
      </c>
      <c r="E257" t="s">
        <v>16</v>
      </c>
      <c r="F257">
        <v>7.2</v>
      </c>
      <c r="G257">
        <v>495</v>
      </c>
      <c r="H257">
        <v>0.1</v>
      </c>
      <c r="I257">
        <v>3</v>
      </c>
      <c r="J257">
        <v>0</v>
      </c>
      <c r="K257">
        <v>7.99</v>
      </c>
      <c r="L257" t="s">
        <v>513</v>
      </c>
      <c r="M257" s="1">
        <v>45261</v>
      </c>
      <c r="N257">
        <f>YEAR(Raw_Data[[#This Row],[join_date_UK]])</f>
        <v>2023</v>
      </c>
    </row>
    <row r="258" spans="1:14" x14ac:dyDescent="0.3">
      <c r="A258" t="s">
        <v>514</v>
      </c>
      <c r="B258" t="s">
        <v>39</v>
      </c>
      <c r="C258">
        <v>22</v>
      </c>
      <c r="D258" t="s">
        <v>23</v>
      </c>
      <c r="E258" t="s">
        <v>16</v>
      </c>
      <c r="F258">
        <v>7.8</v>
      </c>
      <c r="G258">
        <v>505</v>
      </c>
      <c r="H258">
        <v>0.05</v>
      </c>
      <c r="I258">
        <v>3</v>
      </c>
      <c r="J258">
        <v>1</v>
      </c>
      <c r="K258">
        <v>9.99</v>
      </c>
      <c r="L258" t="s">
        <v>515</v>
      </c>
      <c r="M258" s="1">
        <v>44963</v>
      </c>
      <c r="N258">
        <f>YEAR(Raw_Data[[#This Row],[join_date_UK]])</f>
        <v>2023</v>
      </c>
    </row>
    <row r="259" spans="1:14" x14ac:dyDescent="0.3">
      <c r="A259" t="s">
        <v>516</v>
      </c>
      <c r="B259" t="s">
        <v>22</v>
      </c>
      <c r="C259">
        <v>20</v>
      </c>
      <c r="D259" t="s">
        <v>34</v>
      </c>
      <c r="E259" t="s">
        <v>16</v>
      </c>
      <c r="F259">
        <v>1</v>
      </c>
      <c r="G259">
        <v>541</v>
      </c>
      <c r="H259">
        <v>0.15</v>
      </c>
      <c r="I259">
        <v>3</v>
      </c>
      <c r="J259">
        <v>1</v>
      </c>
      <c r="K259">
        <v>9.99</v>
      </c>
      <c r="L259" t="s">
        <v>517</v>
      </c>
      <c r="M259" s="1">
        <v>45107</v>
      </c>
      <c r="N259">
        <f>YEAR(Raw_Data[[#This Row],[join_date_UK]])</f>
        <v>2023</v>
      </c>
    </row>
    <row r="260" spans="1:14" x14ac:dyDescent="0.3">
      <c r="A260" t="s">
        <v>518</v>
      </c>
      <c r="B260" t="s">
        <v>19</v>
      </c>
      <c r="C260">
        <v>52</v>
      </c>
      <c r="D260" t="s">
        <v>30</v>
      </c>
      <c r="E260" t="s">
        <v>16</v>
      </c>
      <c r="F260">
        <v>1.4</v>
      </c>
      <c r="G260">
        <v>511</v>
      </c>
      <c r="H260">
        <v>0.3</v>
      </c>
      <c r="I260">
        <v>3</v>
      </c>
      <c r="J260">
        <v>0</v>
      </c>
      <c r="K260">
        <v>5</v>
      </c>
      <c r="L260" t="s">
        <v>160</v>
      </c>
      <c r="M260" s="1">
        <v>45178</v>
      </c>
      <c r="N260">
        <f>YEAR(Raw_Data[[#This Row],[join_date_UK]])</f>
        <v>2023</v>
      </c>
    </row>
    <row r="261" spans="1:14" x14ac:dyDescent="0.3">
      <c r="A261" t="s">
        <v>519</v>
      </c>
      <c r="B261" t="s">
        <v>14</v>
      </c>
      <c r="C261">
        <v>18</v>
      </c>
      <c r="D261" t="s">
        <v>34</v>
      </c>
      <c r="E261" t="s">
        <v>16</v>
      </c>
      <c r="F261">
        <v>9.1</v>
      </c>
      <c r="G261">
        <v>499</v>
      </c>
      <c r="H261">
        <v>0.1</v>
      </c>
      <c r="I261">
        <v>3</v>
      </c>
      <c r="J261">
        <v>0</v>
      </c>
      <c r="K261">
        <v>7.99</v>
      </c>
      <c r="L261" t="s">
        <v>520</v>
      </c>
      <c r="M261" s="1">
        <v>45487</v>
      </c>
      <c r="N261">
        <f>YEAR(Raw_Data[[#This Row],[join_date_UK]])</f>
        <v>2024</v>
      </c>
    </row>
    <row r="262" spans="1:14" x14ac:dyDescent="0.3">
      <c r="A262" t="s">
        <v>521</v>
      </c>
      <c r="B262" t="s">
        <v>73</v>
      </c>
      <c r="C262">
        <v>18</v>
      </c>
      <c r="D262" t="s">
        <v>34</v>
      </c>
      <c r="E262" t="s">
        <v>16</v>
      </c>
      <c r="F262">
        <v>9.6999999999999993</v>
      </c>
      <c r="G262">
        <v>511</v>
      </c>
      <c r="H262">
        <v>0.25</v>
      </c>
      <c r="I262">
        <v>3</v>
      </c>
      <c r="J262">
        <v>0</v>
      </c>
      <c r="L262" t="s">
        <v>522</v>
      </c>
      <c r="M262" s="1">
        <v>44772</v>
      </c>
      <c r="N262">
        <f>YEAR(Raw_Data[[#This Row],[join_date_UK]])</f>
        <v>2022</v>
      </c>
    </row>
    <row r="263" spans="1:14" x14ac:dyDescent="0.3">
      <c r="A263" t="s">
        <v>523</v>
      </c>
      <c r="B263" t="s">
        <v>14</v>
      </c>
      <c r="C263">
        <v>49</v>
      </c>
      <c r="D263" t="s">
        <v>23</v>
      </c>
      <c r="E263" t="s">
        <v>16</v>
      </c>
      <c r="F263">
        <v>9</v>
      </c>
      <c r="G263">
        <v>486</v>
      </c>
      <c r="H263">
        <v>0.2</v>
      </c>
      <c r="I263">
        <v>3</v>
      </c>
      <c r="J263">
        <v>0</v>
      </c>
      <c r="K263">
        <v>9.99</v>
      </c>
      <c r="L263" t="s">
        <v>524</v>
      </c>
      <c r="M263" s="1">
        <v>44989</v>
      </c>
      <c r="N263">
        <f>YEAR(Raw_Data[[#This Row],[join_date_UK]])</f>
        <v>2023</v>
      </c>
    </row>
    <row r="264" spans="1:14" x14ac:dyDescent="0.3">
      <c r="A264" t="s">
        <v>525</v>
      </c>
      <c r="B264" t="s">
        <v>73</v>
      </c>
      <c r="C264">
        <v>60</v>
      </c>
      <c r="D264" t="s">
        <v>23</v>
      </c>
      <c r="E264" t="s">
        <v>16</v>
      </c>
      <c r="F264">
        <v>3.7</v>
      </c>
      <c r="G264">
        <v>482</v>
      </c>
      <c r="H264">
        <v>0.3</v>
      </c>
      <c r="I264">
        <v>3</v>
      </c>
      <c r="J264">
        <v>0</v>
      </c>
      <c r="K264">
        <v>7.99</v>
      </c>
      <c r="L264" t="s">
        <v>357</v>
      </c>
      <c r="M264" s="1">
        <v>44960</v>
      </c>
      <c r="N264">
        <f>YEAR(Raw_Data[[#This Row],[join_date_UK]])</f>
        <v>2023</v>
      </c>
    </row>
    <row r="265" spans="1:14" x14ac:dyDescent="0.3">
      <c r="A265" t="s">
        <v>526</v>
      </c>
      <c r="B265" t="s">
        <v>29</v>
      </c>
      <c r="C265">
        <v>20</v>
      </c>
      <c r="D265" t="s">
        <v>34</v>
      </c>
      <c r="E265" t="s">
        <v>16</v>
      </c>
      <c r="F265">
        <v>14.7</v>
      </c>
      <c r="G265">
        <v>506</v>
      </c>
      <c r="H265">
        <v>0.15</v>
      </c>
      <c r="I265">
        <v>3</v>
      </c>
      <c r="J265">
        <v>0</v>
      </c>
      <c r="K265">
        <v>12.99</v>
      </c>
      <c r="L265" t="s">
        <v>527</v>
      </c>
      <c r="M265" s="1">
        <v>44788</v>
      </c>
      <c r="N265">
        <f>YEAR(Raw_Data[[#This Row],[join_date_UK]])</f>
        <v>2022</v>
      </c>
    </row>
    <row r="266" spans="1:14" x14ac:dyDescent="0.3">
      <c r="A266" t="s">
        <v>528</v>
      </c>
      <c r="B266" t="s">
        <v>39</v>
      </c>
      <c r="C266">
        <v>20</v>
      </c>
      <c r="D266" t="s">
        <v>34</v>
      </c>
      <c r="E266" t="s">
        <v>16</v>
      </c>
      <c r="F266">
        <v>8.6999999999999993</v>
      </c>
      <c r="G266">
        <v>476</v>
      </c>
      <c r="H266">
        <v>0.2</v>
      </c>
      <c r="I266">
        <v>3</v>
      </c>
      <c r="J266">
        <v>0</v>
      </c>
      <c r="K266">
        <v>7.99</v>
      </c>
      <c r="L266" t="s">
        <v>529</v>
      </c>
      <c r="M266" s="1">
        <v>45127</v>
      </c>
      <c r="N266">
        <f>YEAR(Raw_Data[[#This Row],[join_date_UK]])</f>
        <v>2023</v>
      </c>
    </row>
    <row r="267" spans="1:14" x14ac:dyDescent="0.3">
      <c r="A267" t="s">
        <v>530</v>
      </c>
      <c r="B267" t="s">
        <v>39</v>
      </c>
      <c r="C267">
        <v>52</v>
      </c>
      <c r="D267" t="s">
        <v>15</v>
      </c>
      <c r="E267" t="s">
        <v>16</v>
      </c>
      <c r="F267">
        <v>9.8000000000000007</v>
      </c>
      <c r="G267">
        <v>507</v>
      </c>
      <c r="H267">
        <v>0.2</v>
      </c>
      <c r="I267">
        <v>3</v>
      </c>
      <c r="J267">
        <v>0</v>
      </c>
      <c r="K267">
        <v>7.99</v>
      </c>
      <c r="L267" t="s">
        <v>531</v>
      </c>
      <c r="M267" s="1">
        <v>44640</v>
      </c>
      <c r="N267">
        <f>YEAR(Raw_Data[[#This Row],[join_date_UK]])</f>
        <v>2022</v>
      </c>
    </row>
    <row r="268" spans="1:14" x14ac:dyDescent="0.3">
      <c r="A268" t="s">
        <v>532</v>
      </c>
      <c r="B268" t="s">
        <v>39</v>
      </c>
      <c r="C268">
        <v>40</v>
      </c>
      <c r="D268" t="s">
        <v>30</v>
      </c>
      <c r="E268" t="s">
        <v>16</v>
      </c>
      <c r="F268">
        <v>3.2</v>
      </c>
      <c r="G268">
        <v>507</v>
      </c>
      <c r="H268">
        <v>0.1</v>
      </c>
      <c r="I268">
        <v>3</v>
      </c>
      <c r="J268">
        <v>0</v>
      </c>
      <c r="K268">
        <v>12.99</v>
      </c>
      <c r="L268" t="s">
        <v>365</v>
      </c>
      <c r="M268" s="1">
        <v>44751</v>
      </c>
      <c r="N268">
        <f>YEAR(Raw_Data[[#This Row],[join_date_UK]])</f>
        <v>2022</v>
      </c>
    </row>
    <row r="269" spans="1:14" x14ac:dyDescent="0.3">
      <c r="A269" t="s">
        <v>533</v>
      </c>
      <c r="B269" t="s">
        <v>39</v>
      </c>
      <c r="C269">
        <v>40</v>
      </c>
      <c r="D269" t="s">
        <v>34</v>
      </c>
      <c r="E269" t="s">
        <v>16</v>
      </c>
      <c r="F269">
        <v>10.4</v>
      </c>
      <c r="G269">
        <v>490</v>
      </c>
      <c r="H269">
        <v>0.1</v>
      </c>
      <c r="I269">
        <v>3</v>
      </c>
      <c r="J269">
        <v>0</v>
      </c>
      <c r="K269">
        <v>5</v>
      </c>
      <c r="L269" t="s">
        <v>534</v>
      </c>
      <c r="M269" s="1">
        <v>44796</v>
      </c>
      <c r="N269">
        <f>YEAR(Raw_Data[[#This Row],[join_date_UK]])</f>
        <v>2022</v>
      </c>
    </row>
    <row r="270" spans="1:14" x14ac:dyDescent="0.3">
      <c r="A270" t="s">
        <v>535</v>
      </c>
      <c r="B270" t="s">
        <v>39</v>
      </c>
      <c r="C270">
        <v>16</v>
      </c>
      <c r="D270" t="s">
        <v>15</v>
      </c>
      <c r="E270" t="s">
        <v>16</v>
      </c>
      <c r="F270">
        <v>0.8</v>
      </c>
      <c r="G270">
        <v>496</v>
      </c>
      <c r="H270">
        <v>0.1</v>
      </c>
      <c r="I270">
        <v>3</v>
      </c>
      <c r="J270">
        <v>1</v>
      </c>
      <c r="K270">
        <v>7.99</v>
      </c>
      <c r="L270" t="s">
        <v>536</v>
      </c>
      <c r="M270" s="1">
        <v>44873</v>
      </c>
      <c r="N270">
        <f>YEAR(Raw_Data[[#This Row],[join_date_UK]])</f>
        <v>2022</v>
      </c>
    </row>
    <row r="271" spans="1:14" x14ac:dyDescent="0.3">
      <c r="A271" t="s">
        <v>537</v>
      </c>
      <c r="B271" t="s">
        <v>19</v>
      </c>
      <c r="C271">
        <v>17</v>
      </c>
      <c r="D271" t="s">
        <v>30</v>
      </c>
      <c r="E271" t="s">
        <v>16</v>
      </c>
      <c r="F271">
        <v>9.5</v>
      </c>
      <c r="G271">
        <v>506</v>
      </c>
      <c r="H271">
        <v>0.05</v>
      </c>
      <c r="I271">
        <v>3</v>
      </c>
      <c r="J271">
        <v>0</v>
      </c>
      <c r="K271">
        <v>9.99</v>
      </c>
      <c r="L271" t="s">
        <v>538</v>
      </c>
      <c r="M271" s="1">
        <v>44962</v>
      </c>
      <c r="N271">
        <f>YEAR(Raw_Data[[#This Row],[join_date_UK]])</f>
        <v>2023</v>
      </c>
    </row>
    <row r="272" spans="1:14" x14ac:dyDescent="0.3">
      <c r="A272" t="s">
        <v>539</v>
      </c>
      <c r="B272" t="s">
        <v>26</v>
      </c>
      <c r="C272">
        <v>16</v>
      </c>
      <c r="D272" t="s">
        <v>34</v>
      </c>
      <c r="E272" t="s">
        <v>16</v>
      </c>
      <c r="F272">
        <v>9.3000000000000007</v>
      </c>
      <c r="G272">
        <v>534</v>
      </c>
      <c r="H272">
        <v>0.1</v>
      </c>
      <c r="I272">
        <v>3</v>
      </c>
      <c r="J272">
        <v>1</v>
      </c>
      <c r="K272">
        <v>5</v>
      </c>
      <c r="L272" t="s">
        <v>540</v>
      </c>
      <c r="M272" s="1">
        <v>44586</v>
      </c>
      <c r="N272">
        <f>YEAR(Raw_Data[[#This Row],[join_date_UK]])</f>
        <v>2022</v>
      </c>
    </row>
    <row r="273" spans="1:14" x14ac:dyDescent="0.3">
      <c r="A273" t="s">
        <v>541</v>
      </c>
      <c r="B273" t="s">
        <v>39</v>
      </c>
      <c r="C273">
        <v>32</v>
      </c>
      <c r="D273" t="s">
        <v>30</v>
      </c>
      <c r="E273" t="s">
        <v>16</v>
      </c>
      <c r="F273">
        <v>12</v>
      </c>
      <c r="G273">
        <v>502</v>
      </c>
      <c r="H273">
        <v>0.1</v>
      </c>
      <c r="I273">
        <v>3</v>
      </c>
      <c r="J273">
        <v>0</v>
      </c>
      <c r="K273">
        <v>7.99</v>
      </c>
      <c r="L273" t="s">
        <v>542</v>
      </c>
      <c r="M273" s="1">
        <v>45109</v>
      </c>
      <c r="N273">
        <f>YEAR(Raw_Data[[#This Row],[join_date_UK]])</f>
        <v>2023</v>
      </c>
    </row>
    <row r="274" spans="1:14" x14ac:dyDescent="0.3">
      <c r="A274" t="s">
        <v>543</v>
      </c>
      <c r="B274" t="s">
        <v>44</v>
      </c>
      <c r="C274">
        <v>25</v>
      </c>
      <c r="D274" t="s">
        <v>23</v>
      </c>
      <c r="E274" t="s">
        <v>16</v>
      </c>
      <c r="F274">
        <v>12</v>
      </c>
      <c r="G274">
        <v>505</v>
      </c>
      <c r="H274">
        <v>0.25</v>
      </c>
      <c r="I274">
        <v>3</v>
      </c>
      <c r="J274">
        <v>0</v>
      </c>
      <c r="K274">
        <v>9.99</v>
      </c>
      <c r="L274" t="s">
        <v>544</v>
      </c>
      <c r="M274" s="1">
        <v>45069</v>
      </c>
      <c r="N274">
        <f>YEAR(Raw_Data[[#This Row],[join_date_UK]])</f>
        <v>2023</v>
      </c>
    </row>
    <row r="275" spans="1:14" x14ac:dyDescent="0.3">
      <c r="A275" t="s">
        <v>545</v>
      </c>
      <c r="B275" t="s">
        <v>29</v>
      </c>
      <c r="C275">
        <v>18</v>
      </c>
      <c r="D275" t="s">
        <v>23</v>
      </c>
      <c r="E275" t="s">
        <v>16</v>
      </c>
      <c r="F275">
        <v>9.6999999999999993</v>
      </c>
      <c r="G275">
        <v>499</v>
      </c>
      <c r="H275">
        <v>0.1</v>
      </c>
      <c r="I275">
        <v>3</v>
      </c>
      <c r="J275">
        <v>1</v>
      </c>
      <c r="L275" t="s">
        <v>546</v>
      </c>
      <c r="M275" s="1">
        <v>44795</v>
      </c>
      <c r="N275">
        <f>YEAR(Raw_Data[[#This Row],[join_date_UK]])</f>
        <v>2022</v>
      </c>
    </row>
    <row r="276" spans="1:14" x14ac:dyDescent="0.3">
      <c r="A276" t="s">
        <v>547</v>
      </c>
      <c r="B276" t="s">
        <v>14</v>
      </c>
      <c r="C276">
        <v>18</v>
      </c>
      <c r="D276" t="s">
        <v>23</v>
      </c>
      <c r="E276" t="s">
        <v>16</v>
      </c>
      <c r="F276">
        <v>18.8</v>
      </c>
      <c r="G276">
        <v>460</v>
      </c>
      <c r="H276">
        <v>0.15</v>
      </c>
      <c r="I276">
        <v>3</v>
      </c>
      <c r="J276">
        <v>0</v>
      </c>
      <c r="L276" t="s">
        <v>548</v>
      </c>
      <c r="M276" s="1">
        <v>45003</v>
      </c>
      <c r="N276">
        <f>YEAR(Raw_Data[[#This Row],[join_date_UK]])</f>
        <v>2023</v>
      </c>
    </row>
    <row r="277" spans="1:14" x14ac:dyDescent="0.3">
      <c r="A277" t="s">
        <v>549</v>
      </c>
      <c r="B277" t="s">
        <v>19</v>
      </c>
      <c r="C277">
        <v>36</v>
      </c>
      <c r="D277" t="s">
        <v>15</v>
      </c>
      <c r="E277" t="s">
        <v>16</v>
      </c>
      <c r="F277">
        <v>7.8</v>
      </c>
      <c r="G277">
        <v>503</v>
      </c>
      <c r="H277">
        <v>0.05</v>
      </c>
      <c r="I277">
        <v>3</v>
      </c>
      <c r="J277">
        <v>0</v>
      </c>
      <c r="L277" t="s">
        <v>164</v>
      </c>
      <c r="M277" s="1">
        <v>44890</v>
      </c>
      <c r="N277">
        <f>YEAR(Raw_Data[[#This Row],[join_date_UK]])</f>
        <v>2022</v>
      </c>
    </row>
    <row r="278" spans="1:14" x14ac:dyDescent="0.3">
      <c r="A278" t="s">
        <v>550</v>
      </c>
      <c r="B278" t="s">
        <v>44</v>
      </c>
      <c r="C278">
        <v>47</v>
      </c>
      <c r="D278" t="s">
        <v>34</v>
      </c>
      <c r="E278" t="s">
        <v>16</v>
      </c>
      <c r="F278">
        <v>8.3000000000000007</v>
      </c>
      <c r="G278">
        <v>500</v>
      </c>
      <c r="H278">
        <v>0.05</v>
      </c>
      <c r="I278">
        <v>3</v>
      </c>
      <c r="J278">
        <v>0</v>
      </c>
      <c r="K278">
        <v>9.99</v>
      </c>
      <c r="L278" t="s">
        <v>551</v>
      </c>
      <c r="M278" s="1">
        <v>45248</v>
      </c>
      <c r="N278">
        <f>YEAR(Raw_Data[[#This Row],[join_date_UK]])</f>
        <v>2023</v>
      </c>
    </row>
    <row r="279" spans="1:14" x14ac:dyDescent="0.3">
      <c r="A279" t="s">
        <v>552</v>
      </c>
      <c r="B279" t="s">
        <v>39</v>
      </c>
      <c r="C279">
        <v>50</v>
      </c>
      <c r="D279" t="s">
        <v>30</v>
      </c>
      <c r="E279" t="s">
        <v>16</v>
      </c>
      <c r="F279">
        <v>7.7</v>
      </c>
      <c r="G279">
        <v>536</v>
      </c>
      <c r="H279">
        <v>0.1</v>
      </c>
      <c r="I279">
        <v>3</v>
      </c>
      <c r="J279">
        <v>1</v>
      </c>
      <c r="L279" t="s">
        <v>491</v>
      </c>
      <c r="M279" s="1">
        <v>44874</v>
      </c>
      <c r="N279">
        <f>YEAR(Raw_Data[[#This Row],[join_date_UK]])</f>
        <v>2022</v>
      </c>
    </row>
    <row r="280" spans="1:14" x14ac:dyDescent="0.3">
      <c r="A280" t="s">
        <v>553</v>
      </c>
      <c r="B280" t="s">
        <v>44</v>
      </c>
      <c r="C280">
        <v>46</v>
      </c>
      <c r="D280" t="s">
        <v>23</v>
      </c>
      <c r="E280" t="s">
        <v>16</v>
      </c>
      <c r="F280">
        <v>10.5</v>
      </c>
      <c r="G280">
        <v>520</v>
      </c>
      <c r="H280">
        <v>0.1</v>
      </c>
      <c r="I280">
        <v>3</v>
      </c>
      <c r="J280">
        <v>0</v>
      </c>
      <c r="K280">
        <v>5</v>
      </c>
      <c r="L280" t="s">
        <v>554</v>
      </c>
      <c r="M280" s="1">
        <v>45029</v>
      </c>
      <c r="N280">
        <f>YEAR(Raw_Data[[#This Row],[join_date_UK]])</f>
        <v>2023</v>
      </c>
    </row>
    <row r="281" spans="1:14" x14ac:dyDescent="0.3">
      <c r="A281" t="s">
        <v>555</v>
      </c>
      <c r="B281" t="s">
        <v>19</v>
      </c>
      <c r="C281">
        <v>24</v>
      </c>
      <c r="D281" t="s">
        <v>23</v>
      </c>
      <c r="E281" t="s">
        <v>16</v>
      </c>
      <c r="F281">
        <v>20.5</v>
      </c>
      <c r="G281">
        <v>492</v>
      </c>
      <c r="H281">
        <v>0.25</v>
      </c>
      <c r="I281">
        <v>3</v>
      </c>
      <c r="J281">
        <v>1</v>
      </c>
      <c r="K281">
        <v>9.99</v>
      </c>
      <c r="L281" t="s">
        <v>263</v>
      </c>
      <c r="M281" s="1">
        <v>44790</v>
      </c>
      <c r="N281">
        <f>YEAR(Raw_Data[[#This Row],[join_date_UK]])</f>
        <v>2022</v>
      </c>
    </row>
    <row r="282" spans="1:14" x14ac:dyDescent="0.3">
      <c r="A282" t="s">
        <v>15</v>
      </c>
      <c r="B282" t="s">
        <v>19</v>
      </c>
      <c r="C282">
        <v>61</v>
      </c>
      <c r="D282" t="s">
        <v>23</v>
      </c>
      <c r="E282" t="s">
        <v>16</v>
      </c>
      <c r="F282">
        <v>16.100000000000001</v>
      </c>
      <c r="G282">
        <v>494</v>
      </c>
      <c r="H282">
        <v>0.3</v>
      </c>
      <c r="I282">
        <v>3</v>
      </c>
      <c r="J282">
        <v>1</v>
      </c>
      <c r="K282">
        <v>9.99</v>
      </c>
      <c r="L282" t="s">
        <v>536</v>
      </c>
      <c r="M282" s="1">
        <v>44873</v>
      </c>
      <c r="N282">
        <f>YEAR(Raw_Data[[#This Row],[join_date_UK]])</f>
        <v>2022</v>
      </c>
    </row>
    <row r="283" spans="1:14" x14ac:dyDescent="0.3">
      <c r="A283" t="s">
        <v>556</v>
      </c>
      <c r="B283" t="s">
        <v>29</v>
      </c>
      <c r="C283">
        <v>29</v>
      </c>
      <c r="D283" t="s">
        <v>34</v>
      </c>
      <c r="E283" t="s">
        <v>16</v>
      </c>
      <c r="F283">
        <v>8.6999999999999993</v>
      </c>
      <c r="G283">
        <v>530</v>
      </c>
      <c r="H283">
        <v>0.1</v>
      </c>
      <c r="I283">
        <v>3</v>
      </c>
      <c r="J283">
        <v>0</v>
      </c>
      <c r="L283" t="s">
        <v>403</v>
      </c>
      <c r="M283" s="1">
        <v>45416</v>
      </c>
      <c r="N283">
        <f>YEAR(Raw_Data[[#This Row],[join_date_UK]])</f>
        <v>2024</v>
      </c>
    </row>
    <row r="284" spans="1:14" x14ac:dyDescent="0.3">
      <c r="A284" t="s">
        <v>557</v>
      </c>
      <c r="B284" t="s">
        <v>26</v>
      </c>
      <c r="C284">
        <v>61</v>
      </c>
      <c r="D284" t="s">
        <v>23</v>
      </c>
      <c r="E284" t="s">
        <v>16</v>
      </c>
      <c r="F284">
        <v>1.2</v>
      </c>
      <c r="G284">
        <v>516</v>
      </c>
      <c r="H284">
        <v>0.2</v>
      </c>
      <c r="I284">
        <v>3</v>
      </c>
      <c r="J284">
        <v>1</v>
      </c>
      <c r="K284">
        <v>7.99</v>
      </c>
      <c r="L284" t="s">
        <v>558</v>
      </c>
      <c r="M284" s="1">
        <v>44591</v>
      </c>
      <c r="N284">
        <f>YEAR(Raw_Data[[#This Row],[join_date_UK]])</f>
        <v>2022</v>
      </c>
    </row>
    <row r="285" spans="1:14" x14ac:dyDescent="0.3">
      <c r="A285" t="s">
        <v>559</v>
      </c>
      <c r="B285" t="s">
        <v>19</v>
      </c>
      <c r="C285">
        <v>38</v>
      </c>
      <c r="D285" t="s">
        <v>34</v>
      </c>
      <c r="E285" t="s">
        <v>16</v>
      </c>
      <c r="F285">
        <v>2</v>
      </c>
      <c r="G285">
        <v>484</v>
      </c>
      <c r="H285">
        <v>0.05</v>
      </c>
      <c r="I285">
        <v>3</v>
      </c>
      <c r="J285">
        <v>0</v>
      </c>
      <c r="L285" t="s">
        <v>560</v>
      </c>
      <c r="M285" s="1">
        <v>44862</v>
      </c>
      <c r="N285">
        <f>YEAR(Raw_Data[[#This Row],[join_date_UK]])</f>
        <v>2022</v>
      </c>
    </row>
    <row r="286" spans="1:14" x14ac:dyDescent="0.3">
      <c r="A286" t="s">
        <v>561</v>
      </c>
      <c r="B286" t="s">
        <v>22</v>
      </c>
      <c r="C286">
        <v>25</v>
      </c>
      <c r="D286" t="s">
        <v>15</v>
      </c>
      <c r="E286" t="s">
        <v>16</v>
      </c>
      <c r="F286">
        <v>4.5</v>
      </c>
      <c r="G286">
        <v>483</v>
      </c>
      <c r="H286">
        <v>0.1</v>
      </c>
      <c r="I286">
        <v>3</v>
      </c>
      <c r="J286">
        <v>0</v>
      </c>
      <c r="L286" t="s">
        <v>562</v>
      </c>
      <c r="M286" s="1">
        <v>44935</v>
      </c>
      <c r="N286">
        <f>YEAR(Raw_Data[[#This Row],[join_date_UK]])</f>
        <v>2023</v>
      </c>
    </row>
    <row r="287" spans="1:14" x14ac:dyDescent="0.3">
      <c r="A287" t="s">
        <v>563</v>
      </c>
      <c r="B287" t="s">
        <v>14</v>
      </c>
      <c r="C287">
        <v>18</v>
      </c>
      <c r="D287" t="s">
        <v>23</v>
      </c>
      <c r="E287" t="s">
        <v>16</v>
      </c>
      <c r="F287">
        <v>6</v>
      </c>
      <c r="G287">
        <v>473</v>
      </c>
      <c r="H287">
        <v>0.25</v>
      </c>
      <c r="I287">
        <v>3</v>
      </c>
      <c r="J287">
        <v>1</v>
      </c>
      <c r="L287" t="s">
        <v>564</v>
      </c>
      <c r="M287" s="1">
        <v>45150</v>
      </c>
      <c r="N287">
        <f>YEAR(Raw_Data[[#This Row],[join_date_UK]])</f>
        <v>2023</v>
      </c>
    </row>
    <row r="288" spans="1:14" x14ac:dyDescent="0.3">
      <c r="A288" t="s">
        <v>565</v>
      </c>
      <c r="B288" t="s">
        <v>29</v>
      </c>
      <c r="C288">
        <v>47</v>
      </c>
      <c r="D288" t="s">
        <v>30</v>
      </c>
      <c r="E288" t="s">
        <v>16</v>
      </c>
      <c r="F288">
        <v>15.2</v>
      </c>
      <c r="G288">
        <v>483</v>
      </c>
      <c r="H288">
        <v>0.05</v>
      </c>
      <c r="I288">
        <v>3</v>
      </c>
      <c r="J288">
        <v>0</v>
      </c>
      <c r="K288">
        <v>9.99</v>
      </c>
      <c r="L288" t="s">
        <v>566</v>
      </c>
      <c r="M288" s="1">
        <v>44708</v>
      </c>
      <c r="N288">
        <f>YEAR(Raw_Data[[#This Row],[join_date_UK]])</f>
        <v>2022</v>
      </c>
    </row>
    <row r="289" spans="1:14" x14ac:dyDescent="0.3">
      <c r="A289" t="s">
        <v>567</v>
      </c>
      <c r="B289" t="s">
        <v>33</v>
      </c>
      <c r="C289">
        <v>32</v>
      </c>
      <c r="D289" t="s">
        <v>15</v>
      </c>
      <c r="E289" t="s">
        <v>53</v>
      </c>
      <c r="F289">
        <v>11</v>
      </c>
      <c r="G289">
        <v>504</v>
      </c>
      <c r="H289">
        <v>0.1</v>
      </c>
      <c r="I289">
        <v>3</v>
      </c>
      <c r="J289">
        <v>1</v>
      </c>
      <c r="K289">
        <v>0</v>
      </c>
      <c r="L289" t="s">
        <v>303</v>
      </c>
      <c r="M289" s="1">
        <v>44867</v>
      </c>
      <c r="N289">
        <f>YEAR(Raw_Data[[#This Row],[join_date_UK]])</f>
        <v>2022</v>
      </c>
    </row>
    <row r="290" spans="1:14" x14ac:dyDescent="0.3">
      <c r="A290" t="s">
        <v>568</v>
      </c>
      <c r="B290" t="s">
        <v>39</v>
      </c>
      <c r="C290">
        <v>19</v>
      </c>
      <c r="D290" t="s">
        <v>34</v>
      </c>
      <c r="E290" t="s">
        <v>53</v>
      </c>
      <c r="F290">
        <v>14.2</v>
      </c>
      <c r="G290">
        <v>512</v>
      </c>
      <c r="H290">
        <v>0.1</v>
      </c>
      <c r="I290">
        <v>3</v>
      </c>
      <c r="J290">
        <v>0</v>
      </c>
      <c r="K290">
        <v>0</v>
      </c>
      <c r="L290" t="s">
        <v>569</v>
      </c>
      <c r="M290" s="1">
        <v>44688</v>
      </c>
      <c r="N290">
        <f>YEAR(Raw_Data[[#This Row],[join_date_UK]])</f>
        <v>2022</v>
      </c>
    </row>
    <row r="291" spans="1:14" x14ac:dyDescent="0.3">
      <c r="A291" t="s">
        <v>570</v>
      </c>
      <c r="B291" t="s">
        <v>19</v>
      </c>
      <c r="C291">
        <v>48</v>
      </c>
      <c r="D291" t="s">
        <v>34</v>
      </c>
      <c r="E291" t="s">
        <v>53</v>
      </c>
      <c r="F291">
        <v>10.199999999999999</v>
      </c>
      <c r="G291">
        <v>482</v>
      </c>
      <c r="H291">
        <v>0.15</v>
      </c>
      <c r="I291">
        <v>3</v>
      </c>
      <c r="J291">
        <v>0</v>
      </c>
      <c r="K291">
        <v>0</v>
      </c>
      <c r="L291" t="s">
        <v>571</v>
      </c>
      <c r="M291" s="1">
        <v>45111</v>
      </c>
      <c r="N291">
        <f>YEAR(Raw_Data[[#This Row],[join_date_UK]])</f>
        <v>2023</v>
      </c>
    </row>
    <row r="292" spans="1:14" x14ac:dyDescent="0.3">
      <c r="A292" t="s">
        <v>572</v>
      </c>
      <c r="B292" t="s">
        <v>19</v>
      </c>
      <c r="C292">
        <v>25</v>
      </c>
      <c r="D292" t="s">
        <v>15</v>
      </c>
      <c r="E292" t="s">
        <v>53</v>
      </c>
      <c r="F292">
        <v>3.9</v>
      </c>
      <c r="G292">
        <v>513</v>
      </c>
      <c r="H292">
        <v>0.1</v>
      </c>
      <c r="I292">
        <v>3</v>
      </c>
      <c r="J292">
        <v>0</v>
      </c>
      <c r="K292">
        <v>0</v>
      </c>
      <c r="L292" t="s">
        <v>573</v>
      </c>
      <c r="M292" s="1">
        <v>44925</v>
      </c>
      <c r="N292">
        <f>YEAR(Raw_Data[[#This Row],[join_date_UK]])</f>
        <v>2022</v>
      </c>
    </row>
    <row r="293" spans="1:14" x14ac:dyDescent="0.3">
      <c r="A293" t="s">
        <v>574</v>
      </c>
      <c r="B293" t="s">
        <v>14</v>
      </c>
      <c r="C293">
        <v>52</v>
      </c>
      <c r="D293" t="s">
        <v>23</v>
      </c>
      <c r="E293" t="s">
        <v>53</v>
      </c>
      <c r="F293">
        <v>9.1</v>
      </c>
      <c r="G293">
        <v>478</v>
      </c>
      <c r="H293">
        <v>0.25</v>
      </c>
      <c r="I293">
        <v>3</v>
      </c>
      <c r="J293">
        <v>0</v>
      </c>
      <c r="K293">
        <v>0</v>
      </c>
      <c r="L293" t="s">
        <v>575</v>
      </c>
      <c r="M293" s="1">
        <v>45374</v>
      </c>
      <c r="N293">
        <f>YEAR(Raw_Data[[#This Row],[join_date_UK]])</f>
        <v>2024</v>
      </c>
    </row>
    <row r="294" spans="1:14" x14ac:dyDescent="0.3">
      <c r="A294" t="s">
        <v>576</v>
      </c>
      <c r="B294" t="s">
        <v>14</v>
      </c>
      <c r="C294">
        <v>34</v>
      </c>
      <c r="D294" t="s">
        <v>15</v>
      </c>
      <c r="E294" t="s">
        <v>53</v>
      </c>
      <c r="F294">
        <v>5.8</v>
      </c>
      <c r="G294">
        <v>496</v>
      </c>
      <c r="H294">
        <v>0.1</v>
      </c>
      <c r="I294">
        <v>3</v>
      </c>
      <c r="J294">
        <v>0</v>
      </c>
      <c r="K294">
        <v>0</v>
      </c>
      <c r="L294" t="s">
        <v>577</v>
      </c>
      <c r="M294" s="1">
        <v>44754</v>
      </c>
      <c r="N294">
        <f>YEAR(Raw_Data[[#This Row],[join_date_UK]])</f>
        <v>2022</v>
      </c>
    </row>
    <row r="295" spans="1:14" x14ac:dyDescent="0.3">
      <c r="A295" t="s">
        <v>578</v>
      </c>
      <c r="B295" t="s">
        <v>39</v>
      </c>
      <c r="C295">
        <v>55</v>
      </c>
      <c r="D295" t="s">
        <v>34</v>
      </c>
      <c r="E295" t="s">
        <v>53</v>
      </c>
      <c r="F295">
        <v>4.0999999999999996</v>
      </c>
      <c r="G295">
        <v>539</v>
      </c>
      <c r="H295">
        <v>0.2</v>
      </c>
      <c r="I295">
        <v>3</v>
      </c>
      <c r="J295">
        <v>1</v>
      </c>
      <c r="K295">
        <v>0</v>
      </c>
      <c r="L295" t="s">
        <v>579</v>
      </c>
      <c r="M295" s="1">
        <v>45245</v>
      </c>
      <c r="N295">
        <f>YEAR(Raw_Data[[#This Row],[join_date_UK]])</f>
        <v>2023</v>
      </c>
    </row>
    <row r="296" spans="1:14" x14ac:dyDescent="0.3">
      <c r="A296" t="s">
        <v>580</v>
      </c>
      <c r="B296" t="s">
        <v>22</v>
      </c>
      <c r="C296">
        <v>20</v>
      </c>
      <c r="D296" t="s">
        <v>23</v>
      </c>
      <c r="E296" t="s">
        <v>53</v>
      </c>
      <c r="F296">
        <v>15</v>
      </c>
      <c r="G296">
        <v>505</v>
      </c>
      <c r="H296">
        <v>0.1</v>
      </c>
      <c r="I296">
        <v>3</v>
      </c>
      <c r="J296">
        <v>0</v>
      </c>
      <c r="K296">
        <v>0</v>
      </c>
      <c r="L296" t="s">
        <v>581</v>
      </c>
      <c r="M296" s="1">
        <v>45189</v>
      </c>
      <c r="N296">
        <f>YEAR(Raw_Data[[#This Row],[join_date_UK]])</f>
        <v>2023</v>
      </c>
    </row>
    <row r="297" spans="1:14" x14ac:dyDescent="0.3">
      <c r="A297" t="s">
        <v>582</v>
      </c>
      <c r="B297" t="s">
        <v>14</v>
      </c>
      <c r="C297">
        <v>46</v>
      </c>
      <c r="D297" t="s">
        <v>30</v>
      </c>
      <c r="E297" t="s">
        <v>53</v>
      </c>
      <c r="F297">
        <v>5.4</v>
      </c>
      <c r="G297">
        <v>495</v>
      </c>
      <c r="H297">
        <v>0.1</v>
      </c>
      <c r="I297">
        <v>3</v>
      </c>
      <c r="J297">
        <v>0</v>
      </c>
      <c r="K297">
        <v>0</v>
      </c>
      <c r="L297" t="s">
        <v>493</v>
      </c>
      <c r="M297" s="1">
        <v>45486</v>
      </c>
      <c r="N297">
        <f>YEAR(Raw_Data[[#This Row],[join_date_UK]])</f>
        <v>2024</v>
      </c>
    </row>
    <row r="298" spans="1:14" x14ac:dyDescent="0.3">
      <c r="A298" t="s">
        <v>583</v>
      </c>
      <c r="B298" t="s">
        <v>39</v>
      </c>
      <c r="C298">
        <v>42</v>
      </c>
      <c r="D298" t="s">
        <v>23</v>
      </c>
      <c r="E298" t="s">
        <v>53</v>
      </c>
      <c r="F298">
        <v>15.1</v>
      </c>
      <c r="G298">
        <v>512</v>
      </c>
      <c r="H298">
        <v>0.25</v>
      </c>
      <c r="I298">
        <v>3</v>
      </c>
      <c r="J298">
        <v>0</v>
      </c>
      <c r="K298">
        <v>0</v>
      </c>
      <c r="L298" t="s">
        <v>584</v>
      </c>
      <c r="M298" s="1">
        <v>45523</v>
      </c>
      <c r="N298">
        <f>YEAR(Raw_Data[[#This Row],[join_date_UK]])</f>
        <v>2024</v>
      </c>
    </row>
    <row r="299" spans="1:14" x14ac:dyDescent="0.3">
      <c r="A299" t="s">
        <v>585</v>
      </c>
      <c r="B299" t="s">
        <v>22</v>
      </c>
      <c r="C299">
        <v>42</v>
      </c>
      <c r="D299" t="s">
        <v>23</v>
      </c>
      <c r="E299" t="s">
        <v>53</v>
      </c>
      <c r="F299">
        <v>12.6</v>
      </c>
      <c r="G299">
        <v>497</v>
      </c>
      <c r="H299">
        <v>0.1</v>
      </c>
      <c r="I299">
        <v>3</v>
      </c>
      <c r="J299">
        <v>1</v>
      </c>
      <c r="K299">
        <v>0</v>
      </c>
      <c r="L299" t="s">
        <v>586</v>
      </c>
      <c r="M299" s="1">
        <v>44716</v>
      </c>
      <c r="N299">
        <f>YEAR(Raw_Data[[#This Row],[join_date_UK]])</f>
        <v>2022</v>
      </c>
    </row>
    <row r="300" spans="1:14" x14ac:dyDescent="0.3">
      <c r="A300" t="s">
        <v>587</v>
      </c>
      <c r="B300" t="s">
        <v>29</v>
      </c>
      <c r="C300">
        <v>52</v>
      </c>
      <c r="D300" t="s">
        <v>23</v>
      </c>
      <c r="E300" t="s">
        <v>53</v>
      </c>
      <c r="F300">
        <v>15.9</v>
      </c>
      <c r="G300">
        <v>499</v>
      </c>
      <c r="H300">
        <v>0.3</v>
      </c>
      <c r="I300">
        <v>3</v>
      </c>
      <c r="J300">
        <v>0</v>
      </c>
      <c r="K300">
        <v>0</v>
      </c>
      <c r="L300" t="s">
        <v>588</v>
      </c>
      <c r="M300" s="1">
        <v>44615</v>
      </c>
      <c r="N300">
        <f>YEAR(Raw_Data[[#This Row],[join_date_UK]])</f>
        <v>2022</v>
      </c>
    </row>
    <row r="301" spans="1:14" x14ac:dyDescent="0.3">
      <c r="A301" t="s">
        <v>589</v>
      </c>
      <c r="B301" t="s">
        <v>22</v>
      </c>
      <c r="C301">
        <v>41</v>
      </c>
      <c r="D301" t="s">
        <v>34</v>
      </c>
      <c r="E301" t="s">
        <v>53</v>
      </c>
      <c r="F301">
        <v>12.1</v>
      </c>
      <c r="G301">
        <v>500</v>
      </c>
      <c r="H301">
        <v>0.2</v>
      </c>
      <c r="I301">
        <v>3</v>
      </c>
      <c r="J301">
        <v>0</v>
      </c>
      <c r="K301">
        <v>0</v>
      </c>
      <c r="L301" t="s">
        <v>590</v>
      </c>
      <c r="M301" s="1">
        <v>44897</v>
      </c>
      <c r="N301">
        <f>YEAR(Raw_Data[[#This Row],[join_date_UK]])</f>
        <v>2022</v>
      </c>
    </row>
    <row r="302" spans="1:14" x14ac:dyDescent="0.3">
      <c r="A302" t="s">
        <v>591</v>
      </c>
      <c r="B302" t="s">
        <v>39</v>
      </c>
      <c r="C302">
        <v>24</v>
      </c>
      <c r="D302" t="s">
        <v>34</v>
      </c>
      <c r="E302" t="s">
        <v>53</v>
      </c>
      <c r="F302">
        <v>7.2</v>
      </c>
      <c r="G302">
        <v>485</v>
      </c>
      <c r="H302">
        <v>0.3</v>
      </c>
      <c r="I302">
        <v>3</v>
      </c>
      <c r="J302">
        <v>0</v>
      </c>
      <c r="K302">
        <v>0</v>
      </c>
      <c r="L302" t="s">
        <v>592</v>
      </c>
      <c r="M302" s="1">
        <v>44825</v>
      </c>
      <c r="N302">
        <f>YEAR(Raw_Data[[#This Row],[join_date_UK]])</f>
        <v>2022</v>
      </c>
    </row>
    <row r="303" spans="1:14" x14ac:dyDescent="0.3">
      <c r="A303" t="s">
        <v>593</v>
      </c>
      <c r="B303" t="s">
        <v>73</v>
      </c>
      <c r="C303">
        <v>21</v>
      </c>
      <c r="D303" t="s">
        <v>23</v>
      </c>
      <c r="E303" t="s">
        <v>53</v>
      </c>
      <c r="F303">
        <v>13.2</v>
      </c>
      <c r="G303">
        <v>512</v>
      </c>
      <c r="H303">
        <v>0.1</v>
      </c>
      <c r="I303">
        <v>3</v>
      </c>
      <c r="J303">
        <v>0</v>
      </c>
      <c r="K303">
        <v>0</v>
      </c>
      <c r="L303" t="s">
        <v>594</v>
      </c>
      <c r="M303" s="1">
        <v>44583</v>
      </c>
      <c r="N303">
        <f>YEAR(Raw_Data[[#This Row],[join_date_UK]])</f>
        <v>2022</v>
      </c>
    </row>
    <row r="304" spans="1:14" x14ac:dyDescent="0.3">
      <c r="A304" t="s">
        <v>595</v>
      </c>
      <c r="B304" t="s">
        <v>39</v>
      </c>
      <c r="C304">
        <v>21</v>
      </c>
      <c r="D304" t="s">
        <v>34</v>
      </c>
      <c r="E304" t="s">
        <v>53</v>
      </c>
      <c r="F304">
        <v>11.3</v>
      </c>
      <c r="G304">
        <v>506</v>
      </c>
      <c r="H304">
        <v>0.2</v>
      </c>
      <c r="I304">
        <v>3</v>
      </c>
      <c r="J304">
        <v>0</v>
      </c>
      <c r="K304">
        <v>0</v>
      </c>
      <c r="L304" t="s">
        <v>596</v>
      </c>
      <c r="M304" s="1">
        <v>44778</v>
      </c>
      <c r="N304">
        <f>YEAR(Raw_Data[[#This Row],[join_date_UK]])</f>
        <v>2022</v>
      </c>
    </row>
    <row r="305" spans="1:14" x14ac:dyDescent="0.3">
      <c r="A305" t="s">
        <v>597</v>
      </c>
      <c r="B305" t="s">
        <v>26</v>
      </c>
      <c r="C305">
        <v>31</v>
      </c>
      <c r="D305" t="s">
        <v>34</v>
      </c>
      <c r="E305" t="s">
        <v>53</v>
      </c>
      <c r="F305">
        <v>4.4000000000000004</v>
      </c>
      <c r="G305">
        <v>486</v>
      </c>
      <c r="H305">
        <v>0.3</v>
      </c>
      <c r="I305">
        <v>3</v>
      </c>
      <c r="J305">
        <v>1</v>
      </c>
      <c r="K305">
        <v>0</v>
      </c>
      <c r="L305" t="s">
        <v>598</v>
      </c>
      <c r="M305" s="1">
        <v>44682</v>
      </c>
      <c r="N305">
        <f>YEAR(Raw_Data[[#This Row],[join_date_UK]])</f>
        <v>2022</v>
      </c>
    </row>
    <row r="306" spans="1:14" x14ac:dyDescent="0.3">
      <c r="A306" t="s">
        <v>599</v>
      </c>
      <c r="B306" t="s">
        <v>26</v>
      </c>
      <c r="C306">
        <v>23</v>
      </c>
      <c r="D306" t="s">
        <v>30</v>
      </c>
      <c r="E306" t="s">
        <v>53</v>
      </c>
      <c r="F306">
        <v>14.3</v>
      </c>
      <c r="G306">
        <v>507</v>
      </c>
      <c r="H306">
        <v>0.1</v>
      </c>
      <c r="I306">
        <v>3</v>
      </c>
      <c r="J306">
        <v>0</v>
      </c>
      <c r="K306">
        <v>0</v>
      </c>
      <c r="L306" t="s">
        <v>268</v>
      </c>
      <c r="M306" s="1">
        <v>45210</v>
      </c>
      <c r="N306">
        <f>YEAR(Raw_Data[[#This Row],[join_date_UK]])</f>
        <v>2023</v>
      </c>
    </row>
    <row r="307" spans="1:14" x14ac:dyDescent="0.3">
      <c r="A307" t="s">
        <v>600</v>
      </c>
      <c r="B307" t="s">
        <v>26</v>
      </c>
      <c r="C307">
        <v>29</v>
      </c>
      <c r="D307" t="s">
        <v>15</v>
      </c>
      <c r="E307" t="s">
        <v>53</v>
      </c>
      <c r="F307">
        <v>4.4000000000000004</v>
      </c>
      <c r="G307">
        <v>493</v>
      </c>
      <c r="H307">
        <v>0.15</v>
      </c>
      <c r="I307">
        <v>3</v>
      </c>
      <c r="J307">
        <v>0</v>
      </c>
      <c r="K307">
        <v>0</v>
      </c>
      <c r="L307" t="s">
        <v>601</v>
      </c>
      <c r="M307" s="1">
        <v>45438</v>
      </c>
      <c r="N307">
        <f>YEAR(Raw_Data[[#This Row],[join_date_UK]])</f>
        <v>2024</v>
      </c>
    </row>
    <row r="308" spans="1:14" x14ac:dyDescent="0.3">
      <c r="A308" t="s">
        <v>602</v>
      </c>
      <c r="B308" t="s">
        <v>26</v>
      </c>
      <c r="C308">
        <v>29</v>
      </c>
      <c r="D308" t="s">
        <v>34</v>
      </c>
      <c r="E308" t="s">
        <v>53</v>
      </c>
      <c r="F308">
        <v>6.4</v>
      </c>
      <c r="G308">
        <v>477</v>
      </c>
      <c r="H308">
        <v>0.2</v>
      </c>
      <c r="I308">
        <v>3</v>
      </c>
      <c r="J308">
        <v>0</v>
      </c>
      <c r="K308">
        <v>0</v>
      </c>
      <c r="L308" t="s">
        <v>603</v>
      </c>
      <c r="M308" s="1">
        <v>44648</v>
      </c>
      <c r="N308">
        <f>YEAR(Raw_Data[[#This Row],[join_date_UK]])</f>
        <v>2022</v>
      </c>
    </row>
    <row r="309" spans="1:14" x14ac:dyDescent="0.3">
      <c r="A309" t="s">
        <v>604</v>
      </c>
      <c r="B309" t="s">
        <v>19</v>
      </c>
      <c r="C309">
        <v>36</v>
      </c>
      <c r="D309" t="s">
        <v>23</v>
      </c>
      <c r="E309" t="s">
        <v>53</v>
      </c>
      <c r="F309">
        <v>9.1999999999999993</v>
      </c>
      <c r="G309">
        <v>481</v>
      </c>
      <c r="H309">
        <v>0.1</v>
      </c>
      <c r="I309">
        <v>3</v>
      </c>
      <c r="J309">
        <v>0</v>
      </c>
      <c r="K309">
        <v>0</v>
      </c>
      <c r="L309" t="s">
        <v>509</v>
      </c>
      <c r="M309" s="1">
        <v>44831</v>
      </c>
      <c r="N309">
        <f>YEAR(Raw_Data[[#This Row],[join_date_UK]])</f>
        <v>2022</v>
      </c>
    </row>
    <row r="310" spans="1:14" x14ac:dyDescent="0.3">
      <c r="A310" t="s">
        <v>605</v>
      </c>
      <c r="B310" t="s">
        <v>39</v>
      </c>
      <c r="C310">
        <v>35</v>
      </c>
      <c r="D310" t="s">
        <v>23</v>
      </c>
      <c r="E310" t="s">
        <v>53</v>
      </c>
      <c r="F310">
        <v>11.7</v>
      </c>
      <c r="G310">
        <v>545</v>
      </c>
      <c r="H310">
        <v>0.1</v>
      </c>
      <c r="I310">
        <v>3</v>
      </c>
      <c r="J310">
        <v>0</v>
      </c>
      <c r="K310">
        <v>0</v>
      </c>
      <c r="L310" t="s">
        <v>606</v>
      </c>
      <c r="M310" s="1">
        <v>45356</v>
      </c>
      <c r="N310">
        <f>YEAR(Raw_Data[[#This Row],[join_date_UK]])</f>
        <v>2024</v>
      </c>
    </row>
    <row r="311" spans="1:14" x14ac:dyDescent="0.3">
      <c r="A311" t="s">
        <v>607</v>
      </c>
      <c r="B311" t="s">
        <v>29</v>
      </c>
      <c r="C311">
        <v>48</v>
      </c>
      <c r="D311" t="s">
        <v>34</v>
      </c>
      <c r="E311" t="s">
        <v>53</v>
      </c>
      <c r="F311">
        <v>15.6</v>
      </c>
      <c r="G311">
        <v>548</v>
      </c>
      <c r="H311">
        <v>0.15</v>
      </c>
      <c r="I311">
        <v>3</v>
      </c>
      <c r="J311">
        <v>0</v>
      </c>
      <c r="K311">
        <v>0</v>
      </c>
      <c r="L311" t="s">
        <v>608</v>
      </c>
      <c r="M311" s="1">
        <v>45448</v>
      </c>
      <c r="N311">
        <f>YEAR(Raw_Data[[#This Row],[join_date_UK]])</f>
        <v>2024</v>
      </c>
    </row>
    <row r="312" spans="1:14" x14ac:dyDescent="0.3">
      <c r="A312" t="s">
        <v>609</v>
      </c>
      <c r="B312" t="s">
        <v>29</v>
      </c>
      <c r="C312">
        <v>59</v>
      </c>
      <c r="D312" t="s">
        <v>34</v>
      </c>
      <c r="E312" t="s">
        <v>53</v>
      </c>
      <c r="F312">
        <v>6.9</v>
      </c>
      <c r="G312">
        <v>486</v>
      </c>
      <c r="H312">
        <v>0.2</v>
      </c>
      <c r="I312">
        <v>3</v>
      </c>
      <c r="J312">
        <v>0</v>
      </c>
      <c r="K312">
        <v>0</v>
      </c>
      <c r="L312" t="s">
        <v>610</v>
      </c>
      <c r="M312" s="1">
        <v>45028</v>
      </c>
      <c r="N312">
        <f>YEAR(Raw_Data[[#This Row],[join_date_UK]])</f>
        <v>2023</v>
      </c>
    </row>
    <row r="313" spans="1:14" x14ac:dyDescent="0.3">
      <c r="A313" t="s">
        <v>611</v>
      </c>
      <c r="B313" t="s">
        <v>19</v>
      </c>
      <c r="C313">
        <v>17</v>
      </c>
      <c r="D313" t="s">
        <v>15</v>
      </c>
      <c r="E313" t="s">
        <v>53</v>
      </c>
      <c r="F313">
        <v>9.6999999999999993</v>
      </c>
      <c r="G313">
        <v>474</v>
      </c>
      <c r="H313">
        <v>0.3</v>
      </c>
      <c r="I313">
        <v>3</v>
      </c>
      <c r="J313">
        <v>0</v>
      </c>
      <c r="K313">
        <v>0</v>
      </c>
      <c r="L313" t="s">
        <v>612</v>
      </c>
      <c r="M313" s="1">
        <v>44854</v>
      </c>
      <c r="N313">
        <f>YEAR(Raw_Data[[#This Row],[join_date_UK]])</f>
        <v>2022</v>
      </c>
    </row>
    <row r="314" spans="1:14" x14ac:dyDescent="0.3">
      <c r="A314" t="s">
        <v>613</v>
      </c>
      <c r="B314" t="s">
        <v>73</v>
      </c>
      <c r="C314">
        <v>23</v>
      </c>
      <c r="D314" t="s">
        <v>23</v>
      </c>
      <c r="E314" t="s">
        <v>53</v>
      </c>
      <c r="F314">
        <v>8.8000000000000007</v>
      </c>
      <c r="G314">
        <v>494</v>
      </c>
      <c r="H314">
        <v>0.15</v>
      </c>
      <c r="I314">
        <v>3</v>
      </c>
      <c r="J314">
        <v>1</v>
      </c>
      <c r="K314">
        <v>0</v>
      </c>
      <c r="L314" t="s">
        <v>614</v>
      </c>
      <c r="M314" s="1">
        <v>44759</v>
      </c>
      <c r="N314">
        <f>YEAR(Raw_Data[[#This Row],[join_date_UK]])</f>
        <v>2022</v>
      </c>
    </row>
    <row r="315" spans="1:14" x14ac:dyDescent="0.3">
      <c r="A315" t="s">
        <v>615</v>
      </c>
      <c r="B315" t="s">
        <v>39</v>
      </c>
      <c r="C315">
        <v>18</v>
      </c>
      <c r="D315" t="s">
        <v>23</v>
      </c>
      <c r="E315" t="s">
        <v>53</v>
      </c>
      <c r="F315">
        <v>7.9</v>
      </c>
      <c r="G315">
        <v>526</v>
      </c>
      <c r="H315">
        <v>0.1</v>
      </c>
      <c r="I315">
        <v>3</v>
      </c>
      <c r="J315">
        <v>0</v>
      </c>
      <c r="K315">
        <v>0</v>
      </c>
      <c r="L315" t="s">
        <v>616</v>
      </c>
      <c r="M315" s="1">
        <v>45405</v>
      </c>
      <c r="N315">
        <f>YEAR(Raw_Data[[#This Row],[join_date_UK]])</f>
        <v>2024</v>
      </c>
    </row>
    <row r="316" spans="1:14" x14ac:dyDescent="0.3">
      <c r="A316" t="s">
        <v>617</v>
      </c>
      <c r="B316" t="s">
        <v>33</v>
      </c>
      <c r="C316">
        <v>58</v>
      </c>
      <c r="D316" t="s">
        <v>23</v>
      </c>
      <c r="E316" t="s">
        <v>53</v>
      </c>
      <c r="F316">
        <v>7.2</v>
      </c>
      <c r="G316">
        <v>495</v>
      </c>
      <c r="H316">
        <v>0.05</v>
      </c>
      <c r="I316">
        <v>3</v>
      </c>
      <c r="J316">
        <v>0</v>
      </c>
      <c r="K316">
        <v>0</v>
      </c>
      <c r="L316" t="s">
        <v>618</v>
      </c>
      <c r="M316" s="1">
        <v>44676</v>
      </c>
      <c r="N316">
        <f>YEAR(Raw_Data[[#This Row],[join_date_UK]])</f>
        <v>2022</v>
      </c>
    </row>
    <row r="317" spans="1:14" x14ac:dyDescent="0.3">
      <c r="A317" t="s">
        <v>619</v>
      </c>
      <c r="B317" t="s">
        <v>39</v>
      </c>
      <c r="C317">
        <v>27</v>
      </c>
      <c r="D317" t="s">
        <v>23</v>
      </c>
      <c r="E317" t="s">
        <v>66</v>
      </c>
      <c r="F317">
        <v>1.3</v>
      </c>
      <c r="G317">
        <v>513</v>
      </c>
      <c r="H317">
        <v>0.1</v>
      </c>
      <c r="I317">
        <v>3</v>
      </c>
      <c r="J317">
        <v>1</v>
      </c>
      <c r="L317" t="s">
        <v>620</v>
      </c>
      <c r="M317" s="1">
        <v>44807</v>
      </c>
      <c r="N317">
        <f>YEAR(Raw_Data[[#This Row],[join_date_UK]])</f>
        <v>2022</v>
      </c>
    </row>
    <row r="318" spans="1:14" x14ac:dyDescent="0.3">
      <c r="A318" t="s">
        <v>621</v>
      </c>
      <c r="B318" t="s">
        <v>39</v>
      </c>
      <c r="C318">
        <v>13</v>
      </c>
      <c r="D318" t="s">
        <v>34</v>
      </c>
      <c r="E318" t="s">
        <v>66</v>
      </c>
      <c r="F318">
        <v>9.4</v>
      </c>
      <c r="G318">
        <v>492</v>
      </c>
      <c r="H318">
        <v>0.15</v>
      </c>
      <c r="I318">
        <v>3</v>
      </c>
      <c r="J318">
        <v>1</v>
      </c>
      <c r="K318">
        <v>9.99</v>
      </c>
      <c r="L318" t="s">
        <v>622</v>
      </c>
      <c r="M318" s="1">
        <v>44913</v>
      </c>
      <c r="N318">
        <f>YEAR(Raw_Data[[#This Row],[join_date_UK]])</f>
        <v>2022</v>
      </c>
    </row>
    <row r="319" spans="1:14" x14ac:dyDescent="0.3">
      <c r="A319" t="s">
        <v>623</v>
      </c>
      <c r="B319" t="s">
        <v>44</v>
      </c>
      <c r="C319">
        <v>14</v>
      </c>
      <c r="D319" t="s">
        <v>30</v>
      </c>
      <c r="E319" t="s">
        <v>66</v>
      </c>
      <c r="F319">
        <v>16.100000000000001</v>
      </c>
      <c r="G319">
        <v>470</v>
      </c>
      <c r="H319">
        <v>0.1</v>
      </c>
      <c r="I319">
        <v>3</v>
      </c>
      <c r="J319">
        <v>1</v>
      </c>
      <c r="K319">
        <v>9.99</v>
      </c>
      <c r="L319" t="s">
        <v>624</v>
      </c>
      <c r="M319" s="1">
        <v>45354</v>
      </c>
      <c r="N319">
        <f>YEAR(Raw_Data[[#This Row],[join_date_UK]])</f>
        <v>2024</v>
      </c>
    </row>
    <row r="320" spans="1:14" x14ac:dyDescent="0.3">
      <c r="A320" t="s">
        <v>625</v>
      </c>
      <c r="B320" t="s">
        <v>26</v>
      </c>
      <c r="C320">
        <v>57</v>
      </c>
      <c r="D320" t="s">
        <v>23</v>
      </c>
      <c r="E320" t="s">
        <v>66</v>
      </c>
      <c r="F320">
        <v>8.3000000000000007</v>
      </c>
      <c r="G320">
        <v>483</v>
      </c>
      <c r="H320">
        <v>0.3</v>
      </c>
      <c r="I320">
        <v>3</v>
      </c>
      <c r="J320">
        <v>0</v>
      </c>
      <c r="K320">
        <v>9.99</v>
      </c>
      <c r="L320" t="s">
        <v>626</v>
      </c>
      <c r="M320" s="1">
        <v>44701</v>
      </c>
      <c r="N320">
        <f>YEAR(Raw_Data[[#This Row],[join_date_UK]])</f>
        <v>2022</v>
      </c>
    </row>
    <row r="321" spans="1:14" x14ac:dyDescent="0.3">
      <c r="A321" t="s">
        <v>627</v>
      </c>
      <c r="B321" t="s">
        <v>29</v>
      </c>
      <c r="C321">
        <v>13</v>
      </c>
      <c r="D321" t="s">
        <v>30</v>
      </c>
      <c r="E321" t="s">
        <v>66</v>
      </c>
      <c r="F321">
        <v>5.8</v>
      </c>
      <c r="G321">
        <v>490</v>
      </c>
      <c r="H321">
        <v>0.25</v>
      </c>
      <c r="I321">
        <v>3</v>
      </c>
      <c r="J321">
        <v>1</v>
      </c>
      <c r="L321" t="s">
        <v>628</v>
      </c>
      <c r="M321" s="1">
        <v>45538</v>
      </c>
      <c r="N321">
        <f>YEAR(Raw_Data[[#This Row],[join_date_UK]])</f>
        <v>2024</v>
      </c>
    </row>
    <row r="322" spans="1:14" x14ac:dyDescent="0.3">
      <c r="A322" t="s">
        <v>629</v>
      </c>
      <c r="B322" t="s">
        <v>22</v>
      </c>
      <c r="C322">
        <v>20</v>
      </c>
      <c r="D322" t="s">
        <v>30</v>
      </c>
      <c r="E322" t="s">
        <v>66</v>
      </c>
      <c r="F322">
        <v>21.7</v>
      </c>
      <c r="G322">
        <v>524</v>
      </c>
      <c r="H322">
        <v>0.25</v>
      </c>
      <c r="I322">
        <v>3</v>
      </c>
      <c r="J322">
        <v>0</v>
      </c>
      <c r="K322">
        <v>5</v>
      </c>
      <c r="L322" t="s">
        <v>630</v>
      </c>
      <c r="M322" s="1">
        <v>44570</v>
      </c>
      <c r="N322">
        <f>YEAR(Raw_Data[[#This Row],[join_date_UK]])</f>
        <v>2022</v>
      </c>
    </row>
    <row r="323" spans="1:14" x14ac:dyDescent="0.3">
      <c r="A323" t="s">
        <v>631</v>
      </c>
      <c r="B323" t="s">
        <v>22</v>
      </c>
      <c r="C323">
        <v>41</v>
      </c>
      <c r="D323" t="s">
        <v>34</v>
      </c>
      <c r="E323" t="s">
        <v>66</v>
      </c>
      <c r="F323">
        <v>16.100000000000001</v>
      </c>
      <c r="G323">
        <v>477</v>
      </c>
      <c r="H323">
        <v>0.2</v>
      </c>
      <c r="I323">
        <v>3</v>
      </c>
      <c r="J323">
        <v>1</v>
      </c>
      <c r="K323">
        <v>9.99</v>
      </c>
      <c r="L323" t="s">
        <v>632</v>
      </c>
      <c r="M323" s="1">
        <v>45257</v>
      </c>
      <c r="N323">
        <f>YEAR(Raw_Data[[#This Row],[join_date_UK]])</f>
        <v>2023</v>
      </c>
    </row>
    <row r="324" spans="1:14" x14ac:dyDescent="0.3">
      <c r="A324" t="s">
        <v>633</v>
      </c>
      <c r="B324" t="s">
        <v>44</v>
      </c>
      <c r="C324">
        <v>37</v>
      </c>
      <c r="D324" t="s">
        <v>34</v>
      </c>
      <c r="E324" t="s">
        <v>66</v>
      </c>
      <c r="F324">
        <v>9.9</v>
      </c>
      <c r="G324">
        <v>522</v>
      </c>
      <c r="H324">
        <v>0.1</v>
      </c>
      <c r="I324">
        <v>3</v>
      </c>
      <c r="J324">
        <v>1</v>
      </c>
      <c r="K324">
        <v>9.99</v>
      </c>
      <c r="L324" t="s">
        <v>634</v>
      </c>
      <c r="M324" s="1">
        <v>44676</v>
      </c>
      <c r="N324">
        <f>YEAR(Raw_Data[[#This Row],[join_date_UK]])</f>
        <v>2022</v>
      </c>
    </row>
    <row r="325" spans="1:14" x14ac:dyDescent="0.3">
      <c r="A325" t="s">
        <v>635</v>
      </c>
      <c r="B325" t="s">
        <v>26</v>
      </c>
      <c r="C325">
        <v>43</v>
      </c>
      <c r="D325" t="s">
        <v>34</v>
      </c>
      <c r="E325" t="s">
        <v>66</v>
      </c>
      <c r="F325">
        <v>13.1</v>
      </c>
      <c r="G325">
        <v>500</v>
      </c>
      <c r="H325">
        <v>0.2</v>
      </c>
      <c r="I325">
        <v>3</v>
      </c>
      <c r="J325">
        <v>1</v>
      </c>
      <c r="K325">
        <v>9.99</v>
      </c>
      <c r="L325" t="s">
        <v>636</v>
      </c>
      <c r="M325" s="1">
        <v>45278</v>
      </c>
      <c r="N325">
        <f>YEAR(Raw_Data[[#This Row],[join_date_UK]])</f>
        <v>2023</v>
      </c>
    </row>
    <row r="326" spans="1:14" x14ac:dyDescent="0.3">
      <c r="A326" t="s">
        <v>637</v>
      </c>
      <c r="B326" t="s">
        <v>44</v>
      </c>
      <c r="C326">
        <v>28</v>
      </c>
      <c r="D326" t="s">
        <v>30</v>
      </c>
      <c r="E326" t="s">
        <v>66</v>
      </c>
      <c r="F326">
        <v>4.8</v>
      </c>
      <c r="G326">
        <v>522</v>
      </c>
      <c r="H326">
        <v>0.05</v>
      </c>
      <c r="I326">
        <v>3</v>
      </c>
      <c r="J326">
        <v>0</v>
      </c>
      <c r="K326">
        <v>5</v>
      </c>
      <c r="L326" t="s">
        <v>638</v>
      </c>
      <c r="M326" s="1">
        <v>45017</v>
      </c>
      <c r="N326">
        <f>YEAR(Raw_Data[[#This Row],[join_date_UK]])</f>
        <v>2023</v>
      </c>
    </row>
    <row r="327" spans="1:14" x14ac:dyDescent="0.3">
      <c r="A327" t="s">
        <v>639</v>
      </c>
      <c r="B327" t="s">
        <v>33</v>
      </c>
      <c r="C327">
        <v>50</v>
      </c>
      <c r="D327" t="s">
        <v>23</v>
      </c>
      <c r="E327" t="s">
        <v>66</v>
      </c>
      <c r="F327">
        <v>15.9</v>
      </c>
      <c r="G327">
        <v>506</v>
      </c>
      <c r="H327">
        <v>0.1</v>
      </c>
      <c r="I327">
        <v>3</v>
      </c>
      <c r="J327">
        <v>0</v>
      </c>
      <c r="K327">
        <v>9.99</v>
      </c>
      <c r="L327" t="s">
        <v>640</v>
      </c>
      <c r="M327" s="1">
        <v>45401</v>
      </c>
      <c r="N327">
        <f>YEAR(Raw_Data[[#This Row],[join_date_UK]])</f>
        <v>2024</v>
      </c>
    </row>
    <row r="328" spans="1:14" x14ac:dyDescent="0.3">
      <c r="A328" t="s">
        <v>641</v>
      </c>
      <c r="B328" t="s">
        <v>39</v>
      </c>
      <c r="C328">
        <v>61</v>
      </c>
      <c r="D328" t="s">
        <v>23</v>
      </c>
      <c r="E328" t="s">
        <v>66</v>
      </c>
      <c r="F328">
        <v>17.399999999999999</v>
      </c>
      <c r="G328">
        <v>492</v>
      </c>
      <c r="H328">
        <v>0.1</v>
      </c>
      <c r="I328">
        <v>3</v>
      </c>
      <c r="J328">
        <v>1</v>
      </c>
      <c r="K328">
        <v>9.99</v>
      </c>
      <c r="L328" t="s">
        <v>642</v>
      </c>
      <c r="M328" s="1">
        <v>44905</v>
      </c>
      <c r="N328">
        <f>YEAR(Raw_Data[[#This Row],[join_date_UK]])</f>
        <v>2022</v>
      </c>
    </row>
    <row r="329" spans="1:14" x14ac:dyDescent="0.3">
      <c r="A329" t="s">
        <v>643</v>
      </c>
      <c r="B329" t="s">
        <v>14</v>
      </c>
      <c r="C329">
        <v>22</v>
      </c>
      <c r="D329" t="s">
        <v>34</v>
      </c>
      <c r="E329" t="s">
        <v>66</v>
      </c>
      <c r="F329">
        <v>6.8</v>
      </c>
      <c r="G329">
        <v>442</v>
      </c>
      <c r="H329">
        <v>0.2</v>
      </c>
      <c r="I329">
        <v>3</v>
      </c>
      <c r="J329">
        <v>0</v>
      </c>
      <c r="K329">
        <v>9.99</v>
      </c>
      <c r="L329" t="s">
        <v>644</v>
      </c>
      <c r="M329" s="1">
        <v>45063</v>
      </c>
      <c r="N329">
        <f>YEAR(Raw_Data[[#This Row],[join_date_UK]])</f>
        <v>2023</v>
      </c>
    </row>
    <row r="330" spans="1:14" x14ac:dyDescent="0.3">
      <c r="A330" t="s">
        <v>645</v>
      </c>
      <c r="B330" t="s">
        <v>22</v>
      </c>
      <c r="C330">
        <v>18</v>
      </c>
      <c r="D330" t="s">
        <v>34</v>
      </c>
      <c r="E330" t="s">
        <v>66</v>
      </c>
      <c r="F330">
        <v>14.1</v>
      </c>
      <c r="G330">
        <v>466</v>
      </c>
      <c r="H330">
        <v>0.25</v>
      </c>
      <c r="I330">
        <v>3</v>
      </c>
      <c r="J330">
        <v>0</v>
      </c>
      <c r="K330">
        <v>12.99</v>
      </c>
      <c r="L330" t="s">
        <v>646</v>
      </c>
      <c r="M330" s="1">
        <v>45215</v>
      </c>
      <c r="N330">
        <f>YEAR(Raw_Data[[#This Row],[join_date_UK]])</f>
        <v>2023</v>
      </c>
    </row>
    <row r="331" spans="1:14" x14ac:dyDescent="0.3">
      <c r="A331" t="s">
        <v>647</v>
      </c>
      <c r="B331" t="s">
        <v>22</v>
      </c>
      <c r="C331">
        <v>22</v>
      </c>
      <c r="D331" t="s">
        <v>23</v>
      </c>
      <c r="E331" t="s">
        <v>66</v>
      </c>
      <c r="F331">
        <v>4.0999999999999996</v>
      </c>
      <c r="G331">
        <v>512</v>
      </c>
      <c r="H331">
        <v>0.1</v>
      </c>
      <c r="I331">
        <v>3</v>
      </c>
      <c r="J331">
        <v>0</v>
      </c>
      <c r="K331">
        <v>9.99</v>
      </c>
      <c r="L331" t="s">
        <v>648</v>
      </c>
      <c r="M331" s="1">
        <v>45229</v>
      </c>
      <c r="N331">
        <f>YEAR(Raw_Data[[#This Row],[join_date_UK]])</f>
        <v>2023</v>
      </c>
    </row>
    <row r="332" spans="1:14" x14ac:dyDescent="0.3">
      <c r="A332" t="s">
        <v>649</v>
      </c>
      <c r="B332" t="s">
        <v>29</v>
      </c>
      <c r="C332">
        <v>57</v>
      </c>
      <c r="D332" t="s">
        <v>23</v>
      </c>
      <c r="E332" t="s">
        <v>66</v>
      </c>
      <c r="F332">
        <v>2.2999999999999998</v>
      </c>
      <c r="G332">
        <v>481</v>
      </c>
      <c r="H332">
        <v>0.2</v>
      </c>
      <c r="I332">
        <v>3</v>
      </c>
      <c r="J332">
        <v>0</v>
      </c>
      <c r="K332">
        <v>7.99</v>
      </c>
      <c r="L332" t="s">
        <v>650</v>
      </c>
      <c r="M332" s="1">
        <v>45240</v>
      </c>
      <c r="N332">
        <f>YEAR(Raw_Data[[#This Row],[join_date_UK]])</f>
        <v>2023</v>
      </c>
    </row>
    <row r="333" spans="1:14" x14ac:dyDescent="0.3">
      <c r="A333" t="s">
        <v>651</v>
      </c>
      <c r="B333" t="s">
        <v>26</v>
      </c>
      <c r="C333">
        <v>16</v>
      </c>
      <c r="D333" t="s">
        <v>23</v>
      </c>
      <c r="E333" t="s">
        <v>66</v>
      </c>
      <c r="F333">
        <v>9.9</v>
      </c>
      <c r="G333">
        <v>500</v>
      </c>
      <c r="H333">
        <v>0.3</v>
      </c>
      <c r="I333">
        <v>3</v>
      </c>
      <c r="J333">
        <v>1</v>
      </c>
      <c r="L333" t="s">
        <v>652</v>
      </c>
      <c r="M333" s="1">
        <v>44601</v>
      </c>
      <c r="N333">
        <f>YEAR(Raw_Data[[#This Row],[join_date_UK]])</f>
        <v>2022</v>
      </c>
    </row>
    <row r="334" spans="1:14" x14ac:dyDescent="0.3">
      <c r="A334" t="s">
        <v>653</v>
      </c>
      <c r="B334" t="s">
        <v>44</v>
      </c>
      <c r="C334">
        <v>27</v>
      </c>
      <c r="D334" t="s">
        <v>23</v>
      </c>
      <c r="E334" t="s">
        <v>66</v>
      </c>
      <c r="F334">
        <v>6.8</v>
      </c>
      <c r="G334">
        <v>510</v>
      </c>
      <c r="H334">
        <v>0.25</v>
      </c>
      <c r="I334">
        <v>3</v>
      </c>
      <c r="J334">
        <v>0</v>
      </c>
      <c r="L334" t="s">
        <v>654</v>
      </c>
      <c r="M334" s="1">
        <v>44888</v>
      </c>
      <c r="N334">
        <f>YEAR(Raw_Data[[#This Row],[join_date_UK]])</f>
        <v>2022</v>
      </c>
    </row>
    <row r="335" spans="1:14" x14ac:dyDescent="0.3">
      <c r="A335" t="s">
        <v>655</v>
      </c>
      <c r="B335" t="s">
        <v>26</v>
      </c>
      <c r="C335">
        <v>35</v>
      </c>
      <c r="D335" t="s">
        <v>34</v>
      </c>
      <c r="E335" t="s">
        <v>66</v>
      </c>
      <c r="F335">
        <v>10.4</v>
      </c>
      <c r="G335">
        <v>513</v>
      </c>
      <c r="H335">
        <v>0.2</v>
      </c>
      <c r="I335">
        <v>3</v>
      </c>
      <c r="J335">
        <v>1</v>
      </c>
      <c r="L335" t="s">
        <v>656</v>
      </c>
      <c r="M335" s="1">
        <v>44835</v>
      </c>
      <c r="N335">
        <f>YEAR(Raw_Data[[#This Row],[join_date_UK]])</f>
        <v>2022</v>
      </c>
    </row>
    <row r="336" spans="1:14" x14ac:dyDescent="0.3">
      <c r="A336" t="s">
        <v>657</v>
      </c>
      <c r="B336" t="s">
        <v>44</v>
      </c>
      <c r="C336">
        <v>45</v>
      </c>
      <c r="D336" t="s">
        <v>23</v>
      </c>
      <c r="E336" t="s">
        <v>66</v>
      </c>
      <c r="F336">
        <v>2</v>
      </c>
      <c r="G336">
        <v>476</v>
      </c>
      <c r="H336">
        <v>0.3</v>
      </c>
      <c r="I336">
        <v>3</v>
      </c>
      <c r="J336">
        <v>0</v>
      </c>
      <c r="K336">
        <v>7.99</v>
      </c>
      <c r="L336" t="s">
        <v>658</v>
      </c>
      <c r="M336" s="1">
        <v>44656</v>
      </c>
      <c r="N336">
        <f>YEAR(Raw_Data[[#This Row],[join_date_UK]])</f>
        <v>2022</v>
      </c>
    </row>
    <row r="337" spans="1:14" x14ac:dyDescent="0.3">
      <c r="A337" t="s">
        <v>659</v>
      </c>
      <c r="B337" t="s">
        <v>44</v>
      </c>
      <c r="C337">
        <v>59</v>
      </c>
      <c r="D337" t="s">
        <v>23</v>
      </c>
      <c r="E337" t="s">
        <v>66</v>
      </c>
      <c r="F337">
        <v>13.3</v>
      </c>
      <c r="G337">
        <v>497</v>
      </c>
      <c r="H337">
        <v>0.15</v>
      </c>
      <c r="I337">
        <v>3</v>
      </c>
      <c r="J337">
        <v>0</v>
      </c>
      <c r="K337">
        <v>5</v>
      </c>
      <c r="L337" t="s">
        <v>660</v>
      </c>
      <c r="M337" s="1">
        <v>44847</v>
      </c>
      <c r="N337">
        <f>YEAR(Raw_Data[[#This Row],[join_date_UK]])</f>
        <v>2022</v>
      </c>
    </row>
    <row r="338" spans="1:14" x14ac:dyDescent="0.3">
      <c r="A338" t="s">
        <v>661</v>
      </c>
      <c r="B338" t="s">
        <v>22</v>
      </c>
      <c r="C338">
        <v>33</v>
      </c>
      <c r="D338" t="s">
        <v>15</v>
      </c>
      <c r="E338" t="s">
        <v>66</v>
      </c>
      <c r="F338">
        <v>11</v>
      </c>
      <c r="G338">
        <v>522</v>
      </c>
      <c r="H338">
        <v>0.2</v>
      </c>
      <c r="I338">
        <v>3</v>
      </c>
      <c r="J338">
        <v>1</v>
      </c>
      <c r="K338">
        <v>7.99</v>
      </c>
      <c r="L338" t="s">
        <v>662</v>
      </c>
      <c r="M338" s="1">
        <v>45400</v>
      </c>
      <c r="N338">
        <f>YEAR(Raw_Data[[#This Row],[join_date_UK]])</f>
        <v>2024</v>
      </c>
    </row>
    <row r="339" spans="1:14" x14ac:dyDescent="0.3">
      <c r="A339" t="s">
        <v>663</v>
      </c>
      <c r="B339" t="s">
        <v>39</v>
      </c>
      <c r="C339">
        <v>62</v>
      </c>
      <c r="D339" t="s">
        <v>15</v>
      </c>
      <c r="E339" t="s">
        <v>66</v>
      </c>
      <c r="F339">
        <v>9.1999999999999993</v>
      </c>
      <c r="G339">
        <v>493</v>
      </c>
      <c r="H339">
        <v>0.1</v>
      </c>
      <c r="I339">
        <v>3</v>
      </c>
      <c r="J339">
        <v>0</v>
      </c>
      <c r="L339" t="s">
        <v>664</v>
      </c>
      <c r="M339" s="1">
        <v>44941</v>
      </c>
      <c r="N339">
        <f>YEAR(Raw_Data[[#This Row],[join_date_UK]])</f>
        <v>2023</v>
      </c>
    </row>
    <row r="340" spans="1:14" x14ac:dyDescent="0.3">
      <c r="A340" t="s">
        <v>665</v>
      </c>
      <c r="B340" t="s">
        <v>29</v>
      </c>
      <c r="C340">
        <v>17</v>
      </c>
      <c r="D340" t="s">
        <v>23</v>
      </c>
      <c r="E340" t="s">
        <v>66</v>
      </c>
      <c r="F340">
        <v>2.4</v>
      </c>
      <c r="G340">
        <v>516</v>
      </c>
      <c r="H340">
        <v>0.15</v>
      </c>
      <c r="I340">
        <v>3</v>
      </c>
      <c r="J340">
        <v>0</v>
      </c>
      <c r="L340" t="s">
        <v>666</v>
      </c>
      <c r="M340" s="1">
        <v>45125</v>
      </c>
      <c r="N340">
        <f>YEAR(Raw_Data[[#This Row],[join_date_UK]])</f>
        <v>2023</v>
      </c>
    </row>
    <row r="341" spans="1:14" x14ac:dyDescent="0.3">
      <c r="A341" t="s">
        <v>667</v>
      </c>
      <c r="B341" t="s">
        <v>19</v>
      </c>
      <c r="C341">
        <v>27</v>
      </c>
      <c r="D341" t="s">
        <v>23</v>
      </c>
      <c r="E341" t="s">
        <v>66</v>
      </c>
      <c r="F341">
        <v>13.6</v>
      </c>
      <c r="G341">
        <v>504</v>
      </c>
      <c r="H341">
        <v>0.1</v>
      </c>
      <c r="I341">
        <v>3</v>
      </c>
      <c r="J341">
        <v>0</v>
      </c>
      <c r="K341">
        <v>9.99</v>
      </c>
      <c r="L341" t="s">
        <v>668</v>
      </c>
      <c r="M341" s="1">
        <v>44878</v>
      </c>
      <c r="N341">
        <f>YEAR(Raw_Data[[#This Row],[join_date_UK]])</f>
        <v>2022</v>
      </c>
    </row>
    <row r="342" spans="1:14" x14ac:dyDescent="0.3">
      <c r="A342" t="s">
        <v>669</v>
      </c>
      <c r="B342" t="s">
        <v>19</v>
      </c>
      <c r="C342">
        <v>57</v>
      </c>
      <c r="D342" t="s">
        <v>23</v>
      </c>
      <c r="E342" t="s">
        <v>66</v>
      </c>
      <c r="F342">
        <v>4.4000000000000004</v>
      </c>
      <c r="G342">
        <v>493</v>
      </c>
      <c r="H342">
        <v>0.15</v>
      </c>
      <c r="I342">
        <v>3</v>
      </c>
      <c r="J342">
        <v>0</v>
      </c>
      <c r="K342">
        <v>7.99</v>
      </c>
      <c r="L342" t="s">
        <v>670</v>
      </c>
      <c r="M342" s="1">
        <v>44958</v>
      </c>
      <c r="N342">
        <f>YEAR(Raw_Data[[#This Row],[join_date_UK]])</f>
        <v>2023</v>
      </c>
    </row>
    <row r="343" spans="1:14" x14ac:dyDescent="0.3">
      <c r="A343" t="s">
        <v>671</v>
      </c>
      <c r="B343" t="s">
        <v>44</v>
      </c>
      <c r="C343">
        <v>26</v>
      </c>
      <c r="D343" t="s">
        <v>34</v>
      </c>
      <c r="E343" t="s">
        <v>66</v>
      </c>
      <c r="F343">
        <v>14.6</v>
      </c>
      <c r="G343">
        <v>457</v>
      </c>
      <c r="H343">
        <v>0.25</v>
      </c>
      <c r="I343">
        <v>3</v>
      </c>
      <c r="J343">
        <v>0</v>
      </c>
      <c r="K343">
        <v>7.99</v>
      </c>
      <c r="L343" t="s">
        <v>672</v>
      </c>
      <c r="M343" s="1">
        <v>44593</v>
      </c>
      <c r="N343">
        <f>YEAR(Raw_Data[[#This Row],[join_date_UK]])</f>
        <v>2022</v>
      </c>
    </row>
    <row r="344" spans="1:14" x14ac:dyDescent="0.3">
      <c r="A344" t="s">
        <v>673</v>
      </c>
      <c r="B344" t="s">
        <v>26</v>
      </c>
      <c r="C344">
        <v>25</v>
      </c>
      <c r="D344" t="s">
        <v>34</v>
      </c>
      <c r="E344" t="s">
        <v>66</v>
      </c>
      <c r="F344">
        <v>6.6</v>
      </c>
      <c r="G344">
        <v>497</v>
      </c>
      <c r="H344">
        <v>0.25</v>
      </c>
      <c r="I344">
        <v>3</v>
      </c>
      <c r="J344">
        <v>0</v>
      </c>
      <c r="K344">
        <v>9.99</v>
      </c>
      <c r="L344" t="s">
        <v>674</v>
      </c>
      <c r="M344" s="1">
        <v>45011</v>
      </c>
      <c r="N344">
        <f>YEAR(Raw_Data[[#This Row],[join_date_UK]])</f>
        <v>2023</v>
      </c>
    </row>
    <row r="345" spans="1:14" x14ac:dyDescent="0.3">
      <c r="A345" t="s">
        <v>675</v>
      </c>
      <c r="B345" t="s">
        <v>33</v>
      </c>
      <c r="C345">
        <v>38</v>
      </c>
      <c r="D345" t="s">
        <v>15</v>
      </c>
      <c r="E345" t="s">
        <v>66</v>
      </c>
      <c r="F345">
        <v>16.600000000000001</v>
      </c>
      <c r="G345">
        <v>467</v>
      </c>
      <c r="H345">
        <v>0.3</v>
      </c>
      <c r="I345">
        <v>3</v>
      </c>
      <c r="J345">
        <v>0</v>
      </c>
      <c r="K345">
        <v>9.99</v>
      </c>
      <c r="L345" t="s">
        <v>676</v>
      </c>
      <c r="M345" s="1">
        <v>45535</v>
      </c>
      <c r="N345">
        <f>YEAR(Raw_Data[[#This Row],[join_date_UK]])</f>
        <v>2024</v>
      </c>
    </row>
    <row r="346" spans="1:14" x14ac:dyDescent="0.3">
      <c r="A346" t="s">
        <v>677</v>
      </c>
      <c r="B346" t="s">
        <v>33</v>
      </c>
      <c r="C346">
        <v>42</v>
      </c>
      <c r="D346" t="s">
        <v>34</v>
      </c>
      <c r="E346" t="s">
        <v>66</v>
      </c>
      <c r="F346">
        <v>13</v>
      </c>
      <c r="G346">
        <v>457</v>
      </c>
      <c r="H346">
        <v>0.1</v>
      </c>
      <c r="I346">
        <v>3</v>
      </c>
      <c r="J346">
        <v>0</v>
      </c>
      <c r="K346">
        <v>9.99</v>
      </c>
      <c r="L346" t="s">
        <v>678</v>
      </c>
      <c r="M346" s="1">
        <v>44652</v>
      </c>
      <c r="N346">
        <f>YEAR(Raw_Data[[#This Row],[join_date_UK]])</f>
        <v>2022</v>
      </c>
    </row>
    <row r="347" spans="1:14" x14ac:dyDescent="0.3">
      <c r="A347" t="s">
        <v>679</v>
      </c>
      <c r="B347" t="s">
        <v>44</v>
      </c>
      <c r="C347">
        <v>40</v>
      </c>
      <c r="D347" t="s">
        <v>23</v>
      </c>
      <c r="E347" t="s">
        <v>66</v>
      </c>
      <c r="F347">
        <v>7.7</v>
      </c>
      <c r="G347">
        <v>475</v>
      </c>
      <c r="H347">
        <v>0.15</v>
      </c>
      <c r="I347">
        <v>3</v>
      </c>
      <c r="J347">
        <v>0</v>
      </c>
      <c r="K347">
        <v>12.99</v>
      </c>
      <c r="L347" t="s">
        <v>680</v>
      </c>
      <c r="M347" s="1">
        <v>44579</v>
      </c>
      <c r="N347">
        <f>YEAR(Raw_Data[[#This Row],[join_date_UK]])</f>
        <v>2022</v>
      </c>
    </row>
    <row r="348" spans="1:14" x14ac:dyDescent="0.3">
      <c r="A348" t="s">
        <v>681</v>
      </c>
      <c r="B348" t="s">
        <v>19</v>
      </c>
      <c r="C348">
        <v>50</v>
      </c>
      <c r="D348" t="s">
        <v>15</v>
      </c>
      <c r="E348" t="s">
        <v>66</v>
      </c>
      <c r="F348">
        <v>10.9</v>
      </c>
      <c r="G348">
        <v>497</v>
      </c>
      <c r="H348">
        <v>0.2</v>
      </c>
      <c r="I348">
        <v>3</v>
      </c>
      <c r="J348">
        <v>0</v>
      </c>
      <c r="K348">
        <v>9.99</v>
      </c>
      <c r="L348" t="s">
        <v>682</v>
      </c>
      <c r="M348" s="1">
        <v>45232</v>
      </c>
      <c r="N348">
        <f>YEAR(Raw_Data[[#This Row],[join_date_UK]])</f>
        <v>2023</v>
      </c>
    </row>
    <row r="349" spans="1:14" x14ac:dyDescent="0.3">
      <c r="A349" t="s">
        <v>683</v>
      </c>
      <c r="B349" t="s">
        <v>14</v>
      </c>
      <c r="C349">
        <v>13</v>
      </c>
      <c r="D349" t="s">
        <v>15</v>
      </c>
      <c r="E349" t="s">
        <v>66</v>
      </c>
      <c r="F349">
        <v>9</v>
      </c>
      <c r="G349">
        <v>524</v>
      </c>
      <c r="H349">
        <v>0.25</v>
      </c>
      <c r="I349">
        <v>3</v>
      </c>
      <c r="J349">
        <v>0</v>
      </c>
      <c r="L349" t="s">
        <v>684</v>
      </c>
      <c r="M349" s="1">
        <v>44744</v>
      </c>
      <c r="N349">
        <f>YEAR(Raw_Data[[#This Row],[join_date_UK]])</f>
        <v>2022</v>
      </c>
    </row>
    <row r="350" spans="1:14" x14ac:dyDescent="0.3">
      <c r="A350" t="s">
        <v>685</v>
      </c>
      <c r="B350" t="s">
        <v>44</v>
      </c>
      <c r="C350">
        <v>28</v>
      </c>
      <c r="D350" t="s">
        <v>15</v>
      </c>
      <c r="E350" t="s">
        <v>66</v>
      </c>
      <c r="F350">
        <v>12.8</v>
      </c>
      <c r="G350">
        <v>510</v>
      </c>
      <c r="H350">
        <v>0.25</v>
      </c>
      <c r="I350">
        <v>3</v>
      </c>
      <c r="J350">
        <v>0</v>
      </c>
      <c r="L350" t="s">
        <v>686</v>
      </c>
      <c r="M350" s="1">
        <v>44696</v>
      </c>
      <c r="N350">
        <f>YEAR(Raw_Data[[#This Row],[join_date_UK]])</f>
        <v>2022</v>
      </c>
    </row>
    <row r="351" spans="1:14" x14ac:dyDescent="0.3">
      <c r="A351" t="s">
        <v>687</v>
      </c>
      <c r="B351" t="s">
        <v>39</v>
      </c>
      <c r="C351">
        <v>58</v>
      </c>
      <c r="D351" t="s">
        <v>34</v>
      </c>
      <c r="E351" t="s">
        <v>66</v>
      </c>
      <c r="F351">
        <v>1</v>
      </c>
      <c r="G351">
        <v>451</v>
      </c>
      <c r="H351">
        <v>0.1</v>
      </c>
      <c r="I351">
        <v>3</v>
      </c>
      <c r="J351">
        <v>1</v>
      </c>
      <c r="K351">
        <v>12.99</v>
      </c>
      <c r="L351" t="s">
        <v>688</v>
      </c>
      <c r="M351" s="1">
        <v>45067</v>
      </c>
      <c r="N351">
        <f>YEAR(Raw_Data[[#This Row],[join_date_UK]])</f>
        <v>2023</v>
      </c>
    </row>
    <row r="352" spans="1:14" x14ac:dyDescent="0.3">
      <c r="A352" t="s">
        <v>689</v>
      </c>
      <c r="B352" t="s">
        <v>44</v>
      </c>
      <c r="C352">
        <v>59</v>
      </c>
      <c r="D352" t="s">
        <v>23</v>
      </c>
      <c r="E352" t="s">
        <v>66</v>
      </c>
      <c r="F352">
        <v>8.5</v>
      </c>
      <c r="G352">
        <v>525</v>
      </c>
      <c r="H352">
        <v>0.1</v>
      </c>
      <c r="I352">
        <v>3</v>
      </c>
      <c r="J352">
        <v>0</v>
      </c>
      <c r="K352">
        <v>7.99</v>
      </c>
      <c r="L352" t="s">
        <v>690</v>
      </c>
      <c r="M352" s="1">
        <v>45501</v>
      </c>
      <c r="N352">
        <f>YEAR(Raw_Data[[#This Row],[join_date_UK]])</f>
        <v>2024</v>
      </c>
    </row>
    <row r="353" spans="1:14" x14ac:dyDescent="0.3">
      <c r="A353" t="s">
        <v>691</v>
      </c>
      <c r="B353" t="s">
        <v>39</v>
      </c>
      <c r="C353">
        <v>57</v>
      </c>
      <c r="D353" t="s">
        <v>34</v>
      </c>
      <c r="E353" t="s">
        <v>66</v>
      </c>
      <c r="F353">
        <v>21.4</v>
      </c>
      <c r="G353">
        <v>454</v>
      </c>
      <c r="H353">
        <v>0.3</v>
      </c>
      <c r="I353">
        <v>3</v>
      </c>
      <c r="J353">
        <v>1</v>
      </c>
      <c r="K353">
        <v>7.99</v>
      </c>
      <c r="L353" t="s">
        <v>51</v>
      </c>
      <c r="M353" s="1">
        <v>44870</v>
      </c>
      <c r="N353">
        <f>YEAR(Raw_Data[[#This Row],[join_date_UK]])</f>
        <v>2022</v>
      </c>
    </row>
    <row r="354" spans="1:14" x14ac:dyDescent="0.3">
      <c r="A354" t="s">
        <v>692</v>
      </c>
      <c r="B354" t="s">
        <v>39</v>
      </c>
      <c r="C354">
        <v>15</v>
      </c>
      <c r="D354" t="s">
        <v>15</v>
      </c>
      <c r="E354" t="s">
        <v>66</v>
      </c>
      <c r="F354">
        <v>15.8</v>
      </c>
      <c r="G354">
        <v>507</v>
      </c>
      <c r="H354">
        <v>0.3</v>
      </c>
      <c r="I354">
        <v>3</v>
      </c>
      <c r="J354">
        <v>0</v>
      </c>
      <c r="L354" t="s">
        <v>128</v>
      </c>
      <c r="M354" s="1">
        <v>44846</v>
      </c>
      <c r="N354">
        <f>YEAR(Raw_Data[[#This Row],[join_date_UK]])</f>
        <v>2022</v>
      </c>
    </row>
    <row r="355" spans="1:14" x14ac:dyDescent="0.3">
      <c r="A355" t="s">
        <v>693</v>
      </c>
      <c r="B355" t="s">
        <v>22</v>
      </c>
      <c r="C355">
        <v>43</v>
      </c>
      <c r="D355" t="s">
        <v>34</v>
      </c>
      <c r="E355" t="s">
        <v>66</v>
      </c>
      <c r="F355">
        <v>8.6999999999999993</v>
      </c>
      <c r="G355">
        <v>514</v>
      </c>
      <c r="H355">
        <v>0.2</v>
      </c>
      <c r="I355">
        <v>3</v>
      </c>
      <c r="J355">
        <v>1</v>
      </c>
      <c r="K355">
        <v>5</v>
      </c>
      <c r="L355" t="s">
        <v>352</v>
      </c>
      <c r="M355" s="1">
        <v>45110</v>
      </c>
      <c r="N355">
        <f>YEAR(Raw_Data[[#This Row],[join_date_UK]])</f>
        <v>2023</v>
      </c>
    </row>
    <row r="356" spans="1:14" x14ac:dyDescent="0.3">
      <c r="A356" t="s">
        <v>694</v>
      </c>
      <c r="B356" t="s">
        <v>39</v>
      </c>
      <c r="C356">
        <v>39</v>
      </c>
      <c r="D356" t="s">
        <v>34</v>
      </c>
      <c r="E356" t="s">
        <v>66</v>
      </c>
      <c r="F356">
        <v>4.5</v>
      </c>
      <c r="G356">
        <v>495</v>
      </c>
      <c r="H356">
        <v>0.25</v>
      </c>
      <c r="I356">
        <v>3</v>
      </c>
      <c r="J356">
        <v>0</v>
      </c>
      <c r="K356">
        <v>7.99</v>
      </c>
      <c r="L356" t="s">
        <v>695</v>
      </c>
      <c r="M356" s="1">
        <v>44737</v>
      </c>
      <c r="N356">
        <f>YEAR(Raw_Data[[#This Row],[join_date_UK]])</f>
        <v>2022</v>
      </c>
    </row>
    <row r="357" spans="1:14" x14ac:dyDescent="0.3">
      <c r="A357" t="s">
        <v>696</v>
      </c>
      <c r="B357" t="s">
        <v>22</v>
      </c>
      <c r="C357">
        <v>46</v>
      </c>
      <c r="D357" t="s">
        <v>15</v>
      </c>
      <c r="E357" t="s">
        <v>66</v>
      </c>
      <c r="F357">
        <v>11.8</v>
      </c>
      <c r="G357">
        <v>506</v>
      </c>
      <c r="H357">
        <v>0.1</v>
      </c>
      <c r="I357">
        <v>3</v>
      </c>
      <c r="J357">
        <v>1</v>
      </c>
      <c r="K357">
        <v>9.99</v>
      </c>
      <c r="L357" t="s">
        <v>253</v>
      </c>
      <c r="M357" s="1">
        <v>45081</v>
      </c>
      <c r="N357">
        <f>YEAR(Raw_Data[[#This Row],[join_date_UK]])</f>
        <v>2023</v>
      </c>
    </row>
    <row r="358" spans="1:14" x14ac:dyDescent="0.3">
      <c r="A358" t="s">
        <v>697</v>
      </c>
      <c r="B358" t="s">
        <v>44</v>
      </c>
      <c r="C358">
        <v>14</v>
      </c>
      <c r="D358" t="s">
        <v>23</v>
      </c>
      <c r="E358" t="s">
        <v>66</v>
      </c>
      <c r="F358">
        <v>3.7</v>
      </c>
      <c r="G358">
        <v>494</v>
      </c>
      <c r="H358">
        <v>0.2</v>
      </c>
      <c r="I358">
        <v>3</v>
      </c>
      <c r="J358">
        <v>1</v>
      </c>
      <c r="K358">
        <v>7.99</v>
      </c>
      <c r="L358" t="s">
        <v>54</v>
      </c>
      <c r="M358" s="1">
        <v>44814</v>
      </c>
      <c r="N358">
        <f>YEAR(Raw_Data[[#This Row],[join_date_UK]])</f>
        <v>2022</v>
      </c>
    </row>
    <row r="359" spans="1:14" x14ac:dyDescent="0.3">
      <c r="A359" t="s">
        <v>698</v>
      </c>
      <c r="B359" t="s">
        <v>39</v>
      </c>
      <c r="C359">
        <v>54</v>
      </c>
      <c r="D359" t="s">
        <v>34</v>
      </c>
      <c r="E359" t="s">
        <v>66</v>
      </c>
      <c r="F359">
        <v>10.4</v>
      </c>
      <c r="G359">
        <v>490</v>
      </c>
      <c r="H359">
        <v>0.25</v>
      </c>
      <c r="I359">
        <v>3</v>
      </c>
      <c r="J359">
        <v>0</v>
      </c>
      <c r="K359">
        <v>9.99</v>
      </c>
      <c r="L359" t="s">
        <v>674</v>
      </c>
      <c r="M359" s="1">
        <v>45011</v>
      </c>
      <c r="N359">
        <f>YEAR(Raw_Data[[#This Row],[join_date_UK]])</f>
        <v>2023</v>
      </c>
    </row>
    <row r="360" spans="1:14" x14ac:dyDescent="0.3">
      <c r="A360" t="s">
        <v>699</v>
      </c>
      <c r="B360" t="s">
        <v>19</v>
      </c>
      <c r="C360">
        <v>51</v>
      </c>
      <c r="D360" t="s">
        <v>23</v>
      </c>
      <c r="E360" t="s">
        <v>66</v>
      </c>
      <c r="F360">
        <v>6.8</v>
      </c>
      <c r="G360">
        <v>486</v>
      </c>
      <c r="H360">
        <v>0.1</v>
      </c>
      <c r="I360">
        <v>3</v>
      </c>
      <c r="J360">
        <v>0</v>
      </c>
      <c r="K360">
        <v>9.99</v>
      </c>
      <c r="L360" t="s">
        <v>700</v>
      </c>
      <c r="M360" s="1">
        <v>44666</v>
      </c>
      <c r="N360">
        <f>YEAR(Raw_Data[[#This Row],[join_date_UK]])</f>
        <v>2022</v>
      </c>
    </row>
    <row r="361" spans="1:14" x14ac:dyDescent="0.3">
      <c r="A361" t="s">
        <v>701</v>
      </c>
      <c r="B361" t="s">
        <v>39</v>
      </c>
      <c r="C361">
        <v>19</v>
      </c>
      <c r="D361" t="s">
        <v>23</v>
      </c>
      <c r="E361" t="s">
        <v>66</v>
      </c>
      <c r="F361">
        <v>16</v>
      </c>
      <c r="G361">
        <v>525</v>
      </c>
      <c r="H361">
        <v>0.2</v>
      </c>
      <c r="I361">
        <v>3</v>
      </c>
      <c r="J361">
        <v>0</v>
      </c>
      <c r="K361">
        <v>7.99</v>
      </c>
      <c r="L361" t="s">
        <v>702</v>
      </c>
      <c r="M361" s="1">
        <v>45087</v>
      </c>
      <c r="N361">
        <f>YEAR(Raw_Data[[#This Row],[join_date_UK]])</f>
        <v>2023</v>
      </c>
    </row>
    <row r="362" spans="1:14" x14ac:dyDescent="0.3">
      <c r="A362" t="s">
        <v>703</v>
      </c>
      <c r="B362" t="s">
        <v>22</v>
      </c>
      <c r="C362">
        <v>20</v>
      </c>
      <c r="D362" t="s">
        <v>34</v>
      </c>
      <c r="E362" t="s">
        <v>66</v>
      </c>
      <c r="F362">
        <v>12.6</v>
      </c>
      <c r="G362">
        <v>521</v>
      </c>
      <c r="H362">
        <v>0.2</v>
      </c>
      <c r="I362">
        <v>3</v>
      </c>
      <c r="J362">
        <v>0</v>
      </c>
      <c r="K362">
        <v>9.99</v>
      </c>
      <c r="L362" t="s">
        <v>62</v>
      </c>
      <c r="M362" s="1">
        <v>45480</v>
      </c>
      <c r="N362">
        <f>YEAR(Raw_Data[[#This Row],[join_date_UK]])</f>
        <v>2024</v>
      </c>
    </row>
    <row r="363" spans="1:14" x14ac:dyDescent="0.3">
      <c r="A363" t="s">
        <v>704</v>
      </c>
      <c r="B363" t="s">
        <v>29</v>
      </c>
      <c r="C363">
        <v>56</v>
      </c>
      <c r="D363" t="s">
        <v>30</v>
      </c>
      <c r="E363" t="s">
        <v>66</v>
      </c>
      <c r="F363">
        <v>12.6</v>
      </c>
      <c r="G363">
        <v>480</v>
      </c>
      <c r="H363">
        <v>0.1</v>
      </c>
      <c r="I363">
        <v>3</v>
      </c>
      <c r="J363">
        <v>0</v>
      </c>
      <c r="K363">
        <v>7.99</v>
      </c>
      <c r="L363" t="s">
        <v>705</v>
      </c>
      <c r="M363" s="1">
        <v>45269</v>
      </c>
      <c r="N363">
        <f>YEAR(Raw_Data[[#This Row],[join_date_UK]])</f>
        <v>2023</v>
      </c>
    </row>
    <row r="364" spans="1:14" x14ac:dyDescent="0.3">
      <c r="A364" t="s">
        <v>706</v>
      </c>
      <c r="B364" t="s">
        <v>44</v>
      </c>
      <c r="C364">
        <v>52</v>
      </c>
      <c r="D364" t="s">
        <v>23</v>
      </c>
      <c r="E364" t="s">
        <v>66</v>
      </c>
      <c r="F364">
        <v>7.3</v>
      </c>
      <c r="G364">
        <v>516</v>
      </c>
      <c r="H364">
        <v>0.3</v>
      </c>
      <c r="I364">
        <v>3</v>
      </c>
      <c r="J364">
        <v>1</v>
      </c>
      <c r="L364" t="s">
        <v>186</v>
      </c>
      <c r="M364" s="1">
        <v>45254</v>
      </c>
      <c r="N364">
        <f>YEAR(Raw_Data[[#This Row],[join_date_UK]])</f>
        <v>2023</v>
      </c>
    </row>
    <row r="365" spans="1:14" x14ac:dyDescent="0.3">
      <c r="A365" t="s">
        <v>707</v>
      </c>
      <c r="B365" t="s">
        <v>33</v>
      </c>
      <c r="C365">
        <v>23</v>
      </c>
      <c r="D365" t="s">
        <v>34</v>
      </c>
      <c r="E365" t="s">
        <v>66</v>
      </c>
      <c r="F365">
        <v>8.4</v>
      </c>
      <c r="G365">
        <v>501</v>
      </c>
      <c r="H365">
        <v>0.05</v>
      </c>
      <c r="I365">
        <v>3</v>
      </c>
      <c r="J365">
        <v>1</v>
      </c>
      <c r="K365">
        <v>9.99</v>
      </c>
      <c r="L365" t="s">
        <v>392</v>
      </c>
      <c r="M365" s="1">
        <v>44855</v>
      </c>
      <c r="N365">
        <f>YEAR(Raw_Data[[#This Row],[join_date_UK]])</f>
        <v>2022</v>
      </c>
    </row>
    <row r="366" spans="1:14" x14ac:dyDescent="0.3">
      <c r="A366" t="s">
        <v>708</v>
      </c>
      <c r="B366" t="s">
        <v>39</v>
      </c>
      <c r="C366">
        <v>17</v>
      </c>
      <c r="D366" t="s">
        <v>23</v>
      </c>
      <c r="E366" t="s">
        <v>66</v>
      </c>
      <c r="F366">
        <v>6.1</v>
      </c>
      <c r="G366">
        <v>551</v>
      </c>
      <c r="H366">
        <v>0.1</v>
      </c>
      <c r="I366">
        <v>3</v>
      </c>
      <c r="J366">
        <v>0</v>
      </c>
      <c r="L366" t="s">
        <v>503</v>
      </c>
      <c r="M366" s="1">
        <v>45038</v>
      </c>
      <c r="N366">
        <f>YEAR(Raw_Data[[#This Row],[join_date_UK]])</f>
        <v>2023</v>
      </c>
    </row>
    <row r="367" spans="1:14" x14ac:dyDescent="0.3">
      <c r="A367" t="s">
        <v>709</v>
      </c>
      <c r="B367" t="s">
        <v>22</v>
      </c>
      <c r="C367">
        <v>61</v>
      </c>
      <c r="D367" t="s">
        <v>34</v>
      </c>
      <c r="E367" t="s">
        <v>66</v>
      </c>
      <c r="F367">
        <v>4.3</v>
      </c>
      <c r="G367">
        <v>482</v>
      </c>
      <c r="H367">
        <v>0.1</v>
      </c>
      <c r="I367">
        <v>3</v>
      </c>
      <c r="J367">
        <v>0</v>
      </c>
      <c r="K367">
        <v>9.99</v>
      </c>
      <c r="L367" t="s">
        <v>200</v>
      </c>
      <c r="M367" s="1">
        <v>45135</v>
      </c>
      <c r="N367">
        <f>YEAR(Raw_Data[[#This Row],[join_date_UK]])</f>
        <v>2023</v>
      </c>
    </row>
    <row r="368" spans="1:14" x14ac:dyDescent="0.3">
      <c r="A368" t="s">
        <v>710</v>
      </c>
      <c r="B368" t="s">
        <v>22</v>
      </c>
      <c r="C368">
        <v>58</v>
      </c>
      <c r="D368" t="s">
        <v>30</v>
      </c>
      <c r="E368" t="s">
        <v>66</v>
      </c>
      <c r="F368">
        <v>9.6999999999999993</v>
      </c>
      <c r="G368">
        <v>491</v>
      </c>
      <c r="H368">
        <v>0.15</v>
      </c>
      <c r="I368">
        <v>3</v>
      </c>
      <c r="J368">
        <v>0</v>
      </c>
      <c r="K368">
        <v>5</v>
      </c>
      <c r="L368" t="s">
        <v>711</v>
      </c>
      <c r="M368" s="1">
        <v>45449</v>
      </c>
      <c r="N368">
        <f>YEAR(Raw_Data[[#This Row],[join_date_UK]])</f>
        <v>2024</v>
      </c>
    </row>
    <row r="369" spans="1:14" x14ac:dyDescent="0.3">
      <c r="A369" t="s">
        <v>712</v>
      </c>
      <c r="B369" t="s">
        <v>39</v>
      </c>
      <c r="C369">
        <v>56</v>
      </c>
      <c r="D369" t="s">
        <v>34</v>
      </c>
      <c r="E369" t="s">
        <v>66</v>
      </c>
      <c r="F369">
        <v>9.8000000000000007</v>
      </c>
      <c r="G369">
        <v>505</v>
      </c>
      <c r="H369">
        <v>0.25</v>
      </c>
      <c r="I369">
        <v>3</v>
      </c>
      <c r="J369">
        <v>1</v>
      </c>
      <c r="K369">
        <v>12.99</v>
      </c>
      <c r="L369" t="s">
        <v>713</v>
      </c>
      <c r="M369" s="1">
        <v>44760</v>
      </c>
      <c r="N369">
        <f>YEAR(Raw_Data[[#This Row],[join_date_UK]])</f>
        <v>2022</v>
      </c>
    </row>
    <row r="370" spans="1:14" x14ac:dyDescent="0.3">
      <c r="A370" t="s">
        <v>714</v>
      </c>
      <c r="B370" t="s">
        <v>26</v>
      </c>
      <c r="C370">
        <v>52</v>
      </c>
      <c r="D370" t="s">
        <v>15</v>
      </c>
      <c r="E370" t="s">
        <v>66</v>
      </c>
      <c r="F370">
        <v>4.3</v>
      </c>
      <c r="G370">
        <v>469</v>
      </c>
      <c r="H370">
        <v>0.3</v>
      </c>
      <c r="I370">
        <v>3</v>
      </c>
      <c r="J370">
        <v>0</v>
      </c>
      <c r="K370">
        <v>9.99</v>
      </c>
      <c r="L370" t="s">
        <v>423</v>
      </c>
      <c r="M370" s="1">
        <v>45364</v>
      </c>
      <c r="N370">
        <f>YEAR(Raw_Data[[#This Row],[join_date_UK]])</f>
        <v>2024</v>
      </c>
    </row>
    <row r="371" spans="1:14" x14ac:dyDescent="0.3">
      <c r="A371" t="s">
        <v>715</v>
      </c>
      <c r="B371" t="s">
        <v>26</v>
      </c>
      <c r="C371">
        <v>63</v>
      </c>
      <c r="D371" t="s">
        <v>23</v>
      </c>
      <c r="E371" t="s">
        <v>66</v>
      </c>
      <c r="F371">
        <v>15.4</v>
      </c>
      <c r="G371">
        <v>522</v>
      </c>
      <c r="H371">
        <v>0.1</v>
      </c>
      <c r="I371">
        <v>3</v>
      </c>
      <c r="J371">
        <v>0</v>
      </c>
      <c r="L371" t="s">
        <v>716</v>
      </c>
      <c r="M371" s="1">
        <v>45148</v>
      </c>
      <c r="N371">
        <f>YEAR(Raw_Data[[#This Row],[join_date_UK]])</f>
        <v>2023</v>
      </c>
    </row>
    <row r="372" spans="1:14" x14ac:dyDescent="0.3">
      <c r="A372" t="s">
        <v>717</v>
      </c>
      <c r="B372" t="s">
        <v>39</v>
      </c>
      <c r="C372">
        <v>17</v>
      </c>
      <c r="D372" t="s">
        <v>30</v>
      </c>
      <c r="E372" t="s">
        <v>66</v>
      </c>
      <c r="F372">
        <v>17.3</v>
      </c>
      <c r="G372">
        <v>489</v>
      </c>
      <c r="H372">
        <v>0.25</v>
      </c>
      <c r="I372">
        <v>3</v>
      </c>
      <c r="J372">
        <v>0</v>
      </c>
      <c r="K372">
        <v>9.99</v>
      </c>
      <c r="L372" t="s">
        <v>718</v>
      </c>
      <c r="M372" s="1">
        <v>45243</v>
      </c>
      <c r="N372">
        <f>YEAR(Raw_Data[[#This Row],[join_date_UK]])</f>
        <v>2023</v>
      </c>
    </row>
    <row r="373" spans="1:14" x14ac:dyDescent="0.3">
      <c r="A373" t="s">
        <v>719</v>
      </c>
      <c r="B373" t="s">
        <v>39</v>
      </c>
      <c r="C373">
        <v>57</v>
      </c>
      <c r="D373" t="s">
        <v>23</v>
      </c>
      <c r="E373" t="s">
        <v>66</v>
      </c>
      <c r="F373">
        <v>11.3</v>
      </c>
      <c r="G373">
        <v>476</v>
      </c>
      <c r="H373">
        <v>0.3</v>
      </c>
      <c r="I373">
        <v>3</v>
      </c>
      <c r="J373">
        <v>0</v>
      </c>
      <c r="K373">
        <v>7.99</v>
      </c>
      <c r="L373" t="s">
        <v>720</v>
      </c>
      <c r="M373" s="1">
        <v>44573</v>
      </c>
      <c r="N373">
        <f>YEAR(Raw_Data[[#This Row],[join_date_UK]])</f>
        <v>2022</v>
      </c>
    </row>
    <row r="374" spans="1:14" x14ac:dyDescent="0.3">
      <c r="A374" t="s">
        <v>721</v>
      </c>
      <c r="B374" t="s">
        <v>39</v>
      </c>
      <c r="C374">
        <v>16</v>
      </c>
      <c r="D374" t="s">
        <v>34</v>
      </c>
      <c r="E374" t="s">
        <v>66</v>
      </c>
      <c r="F374">
        <v>14.4</v>
      </c>
      <c r="G374">
        <v>482</v>
      </c>
      <c r="H374">
        <v>0.3</v>
      </c>
      <c r="I374">
        <v>3</v>
      </c>
      <c r="J374">
        <v>0</v>
      </c>
      <c r="K374">
        <v>5</v>
      </c>
      <c r="L374" t="s">
        <v>722</v>
      </c>
      <c r="M374" s="1">
        <v>44596</v>
      </c>
      <c r="N374">
        <f>YEAR(Raw_Data[[#This Row],[join_date_UK]])</f>
        <v>2022</v>
      </c>
    </row>
    <row r="375" spans="1:14" x14ac:dyDescent="0.3">
      <c r="A375" t="s">
        <v>723</v>
      </c>
      <c r="B375" t="s">
        <v>39</v>
      </c>
      <c r="C375">
        <v>57</v>
      </c>
      <c r="D375" t="s">
        <v>23</v>
      </c>
      <c r="E375" t="s">
        <v>66</v>
      </c>
      <c r="F375">
        <v>10.8</v>
      </c>
      <c r="G375">
        <v>521</v>
      </c>
      <c r="H375">
        <v>0.05</v>
      </c>
      <c r="I375">
        <v>3</v>
      </c>
      <c r="J375">
        <v>0</v>
      </c>
      <c r="K375">
        <v>12.99</v>
      </c>
      <c r="L375" t="s">
        <v>724</v>
      </c>
      <c r="M375" s="1">
        <v>45597</v>
      </c>
      <c r="N375">
        <f>YEAR(Raw_Data[[#This Row],[join_date_UK]])</f>
        <v>2024</v>
      </c>
    </row>
    <row r="376" spans="1:14" x14ac:dyDescent="0.3">
      <c r="A376" t="s">
        <v>725</v>
      </c>
      <c r="B376" t="s">
        <v>44</v>
      </c>
      <c r="C376">
        <v>46</v>
      </c>
      <c r="D376" t="s">
        <v>23</v>
      </c>
      <c r="E376" t="s">
        <v>66</v>
      </c>
      <c r="F376">
        <v>8.9</v>
      </c>
      <c r="G376">
        <v>546</v>
      </c>
      <c r="H376">
        <v>0.1</v>
      </c>
      <c r="I376">
        <v>3</v>
      </c>
      <c r="J376">
        <v>1</v>
      </c>
      <c r="K376">
        <v>9.99</v>
      </c>
      <c r="L376" t="s">
        <v>726</v>
      </c>
      <c r="M376" s="1">
        <v>44645</v>
      </c>
      <c r="N376">
        <f>YEAR(Raw_Data[[#This Row],[join_date_UK]])</f>
        <v>2022</v>
      </c>
    </row>
    <row r="377" spans="1:14" x14ac:dyDescent="0.3">
      <c r="A377" t="s">
        <v>727</v>
      </c>
      <c r="B377" t="s">
        <v>44</v>
      </c>
      <c r="C377">
        <v>42</v>
      </c>
      <c r="D377" t="s">
        <v>30</v>
      </c>
      <c r="E377" t="s">
        <v>66</v>
      </c>
      <c r="F377">
        <v>14.8</v>
      </c>
      <c r="G377">
        <v>484</v>
      </c>
      <c r="H377">
        <v>0.2</v>
      </c>
      <c r="I377">
        <v>3</v>
      </c>
      <c r="J377">
        <v>0</v>
      </c>
      <c r="L377" t="s">
        <v>728</v>
      </c>
      <c r="M377" s="1">
        <v>44852</v>
      </c>
      <c r="N377">
        <f>YEAR(Raw_Data[[#This Row],[join_date_UK]])</f>
        <v>2022</v>
      </c>
    </row>
    <row r="378" spans="1:14" x14ac:dyDescent="0.3">
      <c r="A378" t="s">
        <v>729</v>
      </c>
      <c r="B378" t="s">
        <v>26</v>
      </c>
      <c r="C378">
        <v>50</v>
      </c>
      <c r="D378" t="s">
        <v>15</v>
      </c>
      <c r="E378" t="s">
        <v>66</v>
      </c>
      <c r="F378">
        <v>5.6</v>
      </c>
      <c r="G378">
        <v>509</v>
      </c>
      <c r="H378">
        <v>0.2</v>
      </c>
      <c r="I378">
        <v>3</v>
      </c>
      <c r="J378">
        <v>0</v>
      </c>
      <c r="L378" t="s">
        <v>730</v>
      </c>
      <c r="M378" s="1">
        <v>45286</v>
      </c>
      <c r="N378">
        <f>YEAR(Raw_Data[[#This Row],[join_date_UK]])</f>
        <v>2023</v>
      </c>
    </row>
    <row r="379" spans="1:14" x14ac:dyDescent="0.3">
      <c r="A379" t="s">
        <v>731</v>
      </c>
      <c r="B379" t="s">
        <v>26</v>
      </c>
      <c r="C379">
        <v>63</v>
      </c>
      <c r="D379" t="s">
        <v>15</v>
      </c>
      <c r="E379" t="s">
        <v>66</v>
      </c>
      <c r="F379">
        <v>15.8</v>
      </c>
      <c r="G379">
        <v>463</v>
      </c>
      <c r="H379">
        <v>0.3</v>
      </c>
      <c r="I379">
        <v>3</v>
      </c>
      <c r="J379">
        <v>0</v>
      </c>
      <c r="K379">
        <v>7.99</v>
      </c>
      <c r="L379" t="s">
        <v>732</v>
      </c>
      <c r="M379" s="1">
        <v>45474</v>
      </c>
      <c r="N379">
        <f>YEAR(Raw_Data[[#This Row],[join_date_UK]])</f>
        <v>2024</v>
      </c>
    </row>
    <row r="380" spans="1:14" x14ac:dyDescent="0.3">
      <c r="A380" t="s">
        <v>733</v>
      </c>
      <c r="B380" t="s">
        <v>14</v>
      </c>
      <c r="C380">
        <v>47</v>
      </c>
      <c r="D380" t="s">
        <v>34</v>
      </c>
      <c r="E380" t="s">
        <v>66</v>
      </c>
      <c r="F380">
        <v>5</v>
      </c>
      <c r="G380">
        <v>487</v>
      </c>
      <c r="H380">
        <v>0.25</v>
      </c>
      <c r="I380">
        <v>3</v>
      </c>
      <c r="J380">
        <v>0</v>
      </c>
      <c r="L380" t="s">
        <v>511</v>
      </c>
      <c r="M380" s="1">
        <v>45278</v>
      </c>
      <c r="N380">
        <f>YEAR(Raw_Data[[#This Row],[join_date_UK]])</f>
        <v>2023</v>
      </c>
    </row>
    <row r="381" spans="1:14" x14ac:dyDescent="0.3">
      <c r="A381" t="s">
        <v>734</v>
      </c>
      <c r="B381" t="s">
        <v>19</v>
      </c>
      <c r="C381">
        <v>36</v>
      </c>
      <c r="D381" t="s">
        <v>23</v>
      </c>
      <c r="E381" t="s">
        <v>66</v>
      </c>
      <c r="F381">
        <v>17.5</v>
      </c>
      <c r="G381">
        <v>490</v>
      </c>
      <c r="H381">
        <v>0.3</v>
      </c>
      <c r="I381">
        <v>3</v>
      </c>
      <c r="J381">
        <v>0</v>
      </c>
      <c r="K381">
        <v>5</v>
      </c>
      <c r="L381" t="s">
        <v>735</v>
      </c>
      <c r="M381" s="1">
        <v>45045</v>
      </c>
      <c r="N381">
        <f>YEAR(Raw_Data[[#This Row],[join_date_UK]])</f>
        <v>2023</v>
      </c>
    </row>
    <row r="382" spans="1:14" x14ac:dyDescent="0.3">
      <c r="A382" t="s">
        <v>736</v>
      </c>
      <c r="B382" t="s">
        <v>73</v>
      </c>
      <c r="C382">
        <v>15</v>
      </c>
      <c r="D382" t="s">
        <v>23</v>
      </c>
      <c r="E382" t="s">
        <v>66</v>
      </c>
      <c r="F382">
        <v>19.8</v>
      </c>
      <c r="G382">
        <v>484</v>
      </c>
      <c r="H382">
        <v>0.3</v>
      </c>
      <c r="I382">
        <v>3</v>
      </c>
      <c r="J382">
        <v>0</v>
      </c>
      <c r="K382">
        <v>9.99</v>
      </c>
      <c r="L382" t="s">
        <v>737</v>
      </c>
      <c r="M382" s="1">
        <v>45341</v>
      </c>
      <c r="N382">
        <f>YEAR(Raw_Data[[#This Row],[join_date_UK]])</f>
        <v>2024</v>
      </c>
    </row>
    <row r="383" spans="1:14" x14ac:dyDescent="0.3">
      <c r="A383" t="s">
        <v>738</v>
      </c>
      <c r="B383" t="s">
        <v>73</v>
      </c>
      <c r="C383">
        <v>41</v>
      </c>
      <c r="D383" t="s">
        <v>15</v>
      </c>
      <c r="E383" t="s">
        <v>94</v>
      </c>
      <c r="F383">
        <v>17.7</v>
      </c>
      <c r="G383">
        <v>498</v>
      </c>
      <c r="H383">
        <v>0.1</v>
      </c>
      <c r="I383">
        <v>3</v>
      </c>
      <c r="J383">
        <v>0</v>
      </c>
      <c r="K383">
        <v>12.99</v>
      </c>
      <c r="L383" t="s">
        <v>739</v>
      </c>
      <c r="M383" s="1">
        <v>44889</v>
      </c>
      <c r="N383">
        <f>YEAR(Raw_Data[[#This Row],[join_date_UK]])</f>
        <v>2022</v>
      </c>
    </row>
    <row r="384" spans="1:14" x14ac:dyDescent="0.3">
      <c r="A384" t="s">
        <v>740</v>
      </c>
      <c r="B384" t="s">
        <v>33</v>
      </c>
      <c r="C384">
        <v>44</v>
      </c>
      <c r="D384" t="s">
        <v>23</v>
      </c>
      <c r="E384" t="s">
        <v>94</v>
      </c>
      <c r="F384">
        <v>7.5</v>
      </c>
      <c r="G384">
        <v>494</v>
      </c>
      <c r="H384">
        <v>0.1</v>
      </c>
      <c r="I384">
        <v>3</v>
      </c>
      <c r="J384">
        <v>0</v>
      </c>
      <c r="K384">
        <v>12.99</v>
      </c>
      <c r="L384" t="s">
        <v>741</v>
      </c>
      <c r="M384" s="1">
        <v>44709</v>
      </c>
      <c r="N384">
        <f>YEAR(Raw_Data[[#This Row],[join_date_UK]])</f>
        <v>2022</v>
      </c>
    </row>
    <row r="385" spans="1:14" x14ac:dyDescent="0.3">
      <c r="A385" t="s">
        <v>742</v>
      </c>
      <c r="B385" t="s">
        <v>73</v>
      </c>
      <c r="C385">
        <v>50</v>
      </c>
      <c r="D385" t="s">
        <v>23</v>
      </c>
      <c r="E385" t="s">
        <v>94</v>
      </c>
      <c r="F385">
        <v>13</v>
      </c>
      <c r="G385">
        <v>479</v>
      </c>
      <c r="H385">
        <v>0.25</v>
      </c>
      <c r="I385">
        <v>3</v>
      </c>
      <c r="J385">
        <v>0</v>
      </c>
      <c r="K385">
        <v>9.99</v>
      </c>
      <c r="L385" t="s">
        <v>743</v>
      </c>
      <c r="M385" s="1">
        <v>44970</v>
      </c>
      <c r="N385">
        <f>YEAR(Raw_Data[[#This Row],[join_date_UK]])</f>
        <v>2023</v>
      </c>
    </row>
    <row r="386" spans="1:14" x14ac:dyDescent="0.3">
      <c r="A386" t="s">
        <v>744</v>
      </c>
      <c r="B386" t="s">
        <v>19</v>
      </c>
      <c r="C386">
        <v>13</v>
      </c>
      <c r="D386" t="s">
        <v>34</v>
      </c>
      <c r="E386" t="s">
        <v>94</v>
      </c>
      <c r="F386">
        <v>10.4</v>
      </c>
      <c r="G386">
        <v>478</v>
      </c>
      <c r="H386">
        <v>0.05</v>
      </c>
      <c r="I386">
        <v>3</v>
      </c>
      <c r="J386">
        <v>0</v>
      </c>
      <c r="K386">
        <v>9.99</v>
      </c>
      <c r="L386" t="s">
        <v>745</v>
      </c>
      <c r="M386" s="1">
        <v>44584</v>
      </c>
      <c r="N386">
        <f>YEAR(Raw_Data[[#This Row],[join_date_UK]])</f>
        <v>2022</v>
      </c>
    </row>
    <row r="387" spans="1:14" x14ac:dyDescent="0.3">
      <c r="A387" t="s">
        <v>746</v>
      </c>
      <c r="B387" t="s">
        <v>39</v>
      </c>
      <c r="C387">
        <v>36</v>
      </c>
      <c r="D387" t="s">
        <v>23</v>
      </c>
      <c r="E387" t="s">
        <v>94</v>
      </c>
      <c r="F387">
        <v>13.9</v>
      </c>
      <c r="G387">
        <v>525</v>
      </c>
      <c r="H387">
        <v>0.1</v>
      </c>
      <c r="I387">
        <v>3</v>
      </c>
      <c r="J387">
        <v>0</v>
      </c>
      <c r="K387">
        <v>5</v>
      </c>
      <c r="L387" t="s">
        <v>747</v>
      </c>
      <c r="M387" s="1">
        <v>45143</v>
      </c>
      <c r="N387">
        <f>YEAR(Raw_Data[[#This Row],[join_date_UK]])</f>
        <v>2023</v>
      </c>
    </row>
    <row r="388" spans="1:14" x14ac:dyDescent="0.3">
      <c r="A388" t="s">
        <v>748</v>
      </c>
      <c r="B388" t="s">
        <v>39</v>
      </c>
      <c r="C388">
        <v>26</v>
      </c>
      <c r="D388" t="s">
        <v>34</v>
      </c>
      <c r="E388" t="s">
        <v>94</v>
      </c>
      <c r="F388">
        <v>10</v>
      </c>
      <c r="G388">
        <v>485</v>
      </c>
      <c r="H388">
        <v>0.3</v>
      </c>
      <c r="I388">
        <v>3</v>
      </c>
      <c r="J388">
        <v>0</v>
      </c>
      <c r="L388" t="s">
        <v>80</v>
      </c>
      <c r="M388" s="1">
        <v>45077</v>
      </c>
      <c r="N388">
        <f>YEAR(Raw_Data[[#This Row],[join_date_UK]])</f>
        <v>2023</v>
      </c>
    </row>
    <row r="389" spans="1:14" x14ac:dyDescent="0.3">
      <c r="A389" t="s">
        <v>749</v>
      </c>
      <c r="B389" t="s">
        <v>39</v>
      </c>
      <c r="C389">
        <v>51</v>
      </c>
      <c r="D389" t="s">
        <v>23</v>
      </c>
      <c r="E389" t="s">
        <v>94</v>
      </c>
      <c r="F389">
        <v>14.5</v>
      </c>
      <c r="G389">
        <v>491</v>
      </c>
      <c r="H389">
        <v>0.1</v>
      </c>
      <c r="I389">
        <v>3</v>
      </c>
      <c r="J389">
        <v>0</v>
      </c>
      <c r="K389">
        <v>12.99</v>
      </c>
      <c r="L389" t="s">
        <v>750</v>
      </c>
      <c r="M389" s="1">
        <v>44763</v>
      </c>
      <c r="N389">
        <f>YEAR(Raw_Data[[#This Row],[join_date_UK]])</f>
        <v>2022</v>
      </c>
    </row>
    <row r="390" spans="1:14" x14ac:dyDescent="0.3">
      <c r="A390" t="s">
        <v>751</v>
      </c>
      <c r="B390" t="s">
        <v>19</v>
      </c>
      <c r="C390">
        <v>38</v>
      </c>
      <c r="D390" t="s">
        <v>23</v>
      </c>
      <c r="E390" t="s">
        <v>94</v>
      </c>
      <c r="F390">
        <v>6.6</v>
      </c>
      <c r="G390">
        <v>551</v>
      </c>
      <c r="H390">
        <v>0.05</v>
      </c>
      <c r="I390">
        <v>3</v>
      </c>
      <c r="J390">
        <v>0</v>
      </c>
      <c r="K390">
        <v>9.99</v>
      </c>
      <c r="L390" t="s">
        <v>88</v>
      </c>
      <c r="M390" s="1">
        <v>45052</v>
      </c>
      <c r="N390">
        <f>YEAR(Raw_Data[[#This Row],[join_date_UK]])</f>
        <v>2023</v>
      </c>
    </row>
    <row r="391" spans="1:14" x14ac:dyDescent="0.3">
      <c r="A391" t="s">
        <v>752</v>
      </c>
      <c r="B391" t="s">
        <v>39</v>
      </c>
      <c r="C391">
        <v>49</v>
      </c>
      <c r="D391" t="s">
        <v>23</v>
      </c>
      <c r="E391" t="s">
        <v>94</v>
      </c>
      <c r="F391">
        <v>3.3</v>
      </c>
      <c r="G391">
        <v>494</v>
      </c>
      <c r="H391">
        <v>0.15</v>
      </c>
      <c r="I391">
        <v>3</v>
      </c>
      <c r="J391">
        <v>0</v>
      </c>
      <c r="K391">
        <v>9.99</v>
      </c>
      <c r="L391" t="s">
        <v>753</v>
      </c>
      <c r="M391" s="1">
        <v>45130</v>
      </c>
      <c r="N391">
        <f>YEAR(Raw_Data[[#This Row],[join_date_UK]])</f>
        <v>2023</v>
      </c>
    </row>
    <row r="392" spans="1:14" x14ac:dyDescent="0.3">
      <c r="A392" t="s">
        <v>754</v>
      </c>
      <c r="B392" t="s">
        <v>19</v>
      </c>
      <c r="C392">
        <v>23</v>
      </c>
      <c r="D392" t="s">
        <v>23</v>
      </c>
      <c r="E392" t="s">
        <v>94</v>
      </c>
      <c r="F392">
        <v>21.5</v>
      </c>
      <c r="G392">
        <v>514</v>
      </c>
      <c r="H392">
        <v>0.15</v>
      </c>
      <c r="I392">
        <v>3</v>
      </c>
      <c r="J392">
        <v>0</v>
      </c>
      <c r="K392">
        <v>9.99</v>
      </c>
      <c r="L392" t="s">
        <v>590</v>
      </c>
      <c r="M392" s="1">
        <v>44897</v>
      </c>
      <c r="N392">
        <f>YEAR(Raw_Data[[#This Row],[join_date_UK]])</f>
        <v>2022</v>
      </c>
    </row>
    <row r="393" spans="1:14" x14ac:dyDescent="0.3">
      <c r="A393" t="s">
        <v>755</v>
      </c>
      <c r="B393" t="s">
        <v>19</v>
      </c>
      <c r="C393">
        <v>55</v>
      </c>
      <c r="D393" t="s">
        <v>30</v>
      </c>
      <c r="E393" t="s">
        <v>94</v>
      </c>
      <c r="F393">
        <v>6.9</v>
      </c>
      <c r="G393">
        <v>512</v>
      </c>
      <c r="H393">
        <v>0.2</v>
      </c>
      <c r="I393">
        <v>3</v>
      </c>
      <c r="J393">
        <v>0</v>
      </c>
      <c r="K393">
        <v>7.99</v>
      </c>
      <c r="L393" t="s">
        <v>756</v>
      </c>
      <c r="M393" s="1">
        <v>45366</v>
      </c>
      <c r="N393">
        <f>YEAR(Raw_Data[[#This Row],[join_date_UK]])</f>
        <v>2024</v>
      </c>
    </row>
    <row r="394" spans="1:14" x14ac:dyDescent="0.3">
      <c r="A394" t="s">
        <v>757</v>
      </c>
      <c r="B394" t="s">
        <v>39</v>
      </c>
      <c r="C394">
        <v>45</v>
      </c>
      <c r="D394" t="s">
        <v>23</v>
      </c>
      <c r="E394" t="s">
        <v>94</v>
      </c>
      <c r="F394">
        <v>15.2</v>
      </c>
      <c r="G394">
        <v>461</v>
      </c>
      <c r="H394">
        <v>0.05</v>
      </c>
      <c r="I394">
        <v>3</v>
      </c>
      <c r="J394">
        <v>0</v>
      </c>
      <c r="K394">
        <v>5</v>
      </c>
      <c r="L394" t="s">
        <v>758</v>
      </c>
      <c r="M394" s="1">
        <v>44834</v>
      </c>
      <c r="N394">
        <f>YEAR(Raw_Data[[#This Row],[join_date_UK]])</f>
        <v>2022</v>
      </c>
    </row>
    <row r="395" spans="1:14" x14ac:dyDescent="0.3">
      <c r="A395" t="s">
        <v>759</v>
      </c>
      <c r="B395" t="s">
        <v>39</v>
      </c>
      <c r="C395">
        <v>13</v>
      </c>
      <c r="D395" t="s">
        <v>23</v>
      </c>
      <c r="E395" t="s">
        <v>94</v>
      </c>
      <c r="F395">
        <v>16.5</v>
      </c>
      <c r="G395">
        <v>519</v>
      </c>
      <c r="H395">
        <v>0.2</v>
      </c>
      <c r="I395">
        <v>3</v>
      </c>
      <c r="J395">
        <v>0</v>
      </c>
      <c r="L395" t="s">
        <v>650</v>
      </c>
      <c r="M395" s="1">
        <v>45240</v>
      </c>
      <c r="N395">
        <f>YEAR(Raw_Data[[#This Row],[join_date_UK]])</f>
        <v>2023</v>
      </c>
    </row>
    <row r="396" spans="1:14" x14ac:dyDescent="0.3">
      <c r="A396" t="s">
        <v>760</v>
      </c>
      <c r="B396" t="s">
        <v>14</v>
      </c>
      <c r="C396">
        <v>14</v>
      </c>
      <c r="D396" t="s">
        <v>23</v>
      </c>
      <c r="E396" t="s">
        <v>94</v>
      </c>
      <c r="F396">
        <v>4.8</v>
      </c>
      <c r="G396">
        <v>522</v>
      </c>
      <c r="H396">
        <v>0.1</v>
      </c>
      <c r="I396">
        <v>3</v>
      </c>
      <c r="J396">
        <v>0</v>
      </c>
      <c r="K396">
        <v>5</v>
      </c>
      <c r="L396" t="s">
        <v>761</v>
      </c>
      <c r="M396" s="1">
        <v>45175</v>
      </c>
      <c r="N396">
        <f>YEAR(Raw_Data[[#This Row],[join_date_UK]])</f>
        <v>2023</v>
      </c>
    </row>
    <row r="397" spans="1:14" x14ac:dyDescent="0.3">
      <c r="A397" t="s">
        <v>762</v>
      </c>
      <c r="B397" t="s">
        <v>73</v>
      </c>
      <c r="C397">
        <v>45</v>
      </c>
      <c r="D397" t="s">
        <v>23</v>
      </c>
      <c r="E397" t="s">
        <v>94</v>
      </c>
      <c r="F397">
        <v>11.1</v>
      </c>
      <c r="G397">
        <v>495</v>
      </c>
      <c r="H397">
        <v>0.2</v>
      </c>
      <c r="I397">
        <v>3</v>
      </c>
      <c r="J397">
        <v>0</v>
      </c>
      <c r="K397">
        <v>5</v>
      </c>
      <c r="L397" t="s">
        <v>401</v>
      </c>
      <c r="M397" s="1">
        <v>44621</v>
      </c>
      <c r="N397">
        <f>YEAR(Raw_Data[[#This Row],[join_date_UK]])</f>
        <v>2022</v>
      </c>
    </row>
    <row r="398" spans="1:14" x14ac:dyDescent="0.3">
      <c r="A398" t="s">
        <v>763</v>
      </c>
      <c r="B398" t="s">
        <v>39</v>
      </c>
      <c r="C398">
        <v>16</v>
      </c>
      <c r="D398" t="s">
        <v>23</v>
      </c>
      <c r="E398" t="s">
        <v>94</v>
      </c>
      <c r="F398">
        <v>11</v>
      </c>
      <c r="G398">
        <v>548</v>
      </c>
      <c r="H398">
        <v>0.3</v>
      </c>
      <c r="I398">
        <v>3</v>
      </c>
      <c r="J398">
        <v>0</v>
      </c>
      <c r="K398">
        <v>9.99</v>
      </c>
      <c r="L398" t="s">
        <v>634</v>
      </c>
      <c r="M398" s="1">
        <v>44676</v>
      </c>
      <c r="N398">
        <f>YEAR(Raw_Data[[#This Row],[join_date_UK]])</f>
        <v>2022</v>
      </c>
    </row>
    <row r="399" spans="1:14" x14ac:dyDescent="0.3">
      <c r="A399" t="s">
        <v>764</v>
      </c>
      <c r="B399" t="s">
        <v>22</v>
      </c>
      <c r="C399">
        <v>40</v>
      </c>
      <c r="D399" t="s">
        <v>30</v>
      </c>
      <c r="E399" t="s">
        <v>94</v>
      </c>
      <c r="F399">
        <v>4.5</v>
      </c>
      <c r="G399">
        <v>520</v>
      </c>
      <c r="H399">
        <v>0.05</v>
      </c>
      <c r="I399">
        <v>3</v>
      </c>
      <c r="J399">
        <v>0</v>
      </c>
      <c r="K399">
        <v>5</v>
      </c>
      <c r="L399" t="s">
        <v>765</v>
      </c>
      <c r="M399" s="1">
        <v>44636</v>
      </c>
      <c r="N399">
        <f>YEAR(Raw_Data[[#This Row],[join_date_UK]])</f>
        <v>2022</v>
      </c>
    </row>
    <row r="400" spans="1:14" x14ac:dyDescent="0.3">
      <c r="A400" t="s">
        <v>766</v>
      </c>
      <c r="B400" t="s">
        <v>19</v>
      </c>
      <c r="C400">
        <v>26</v>
      </c>
      <c r="D400" t="s">
        <v>34</v>
      </c>
      <c r="E400" t="s">
        <v>94</v>
      </c>
      <c r="F400">
        <v>10.8</v>
      </c>
      <c r="G400">
        <v>495</v>
      </c>
      <c r="H400">
        <v>0.1</v>
      </c>
      <c r="I400">
        <v>3</v>
      </c>
      <c r="J400">
        <v>0</v>
      </c>
      <c r="L400" t="s">
        <v>638</v>
      </c>
      <c r="M400" s="1">
        <v>45017</v>
      </c>
      <c r="N400">
        <f>YEAR(Raw_Data[[#This Row],[join_date_UK]])</f>
        <v>2023</v>
      </c>
    </row>
    <row r="401" spans="1:14" x14ac:dyDescent="0.3">
      <c r="A401" t="s">
        <v>767</v>
      </c>
      <c r="B401" t="s">
        <v>22</v>
      </c>
      <c r="C401">
        <v>45</v>
      </c>
      <c r="D401" t="s">
        <v>34</v>
      </c>
      <c r="E401" t="s">
        <v>94</v>
      </c>
      <c r="F401">
        <v>13.3</v>
      </c>
      <c r="G401">
        <v>504</v>
      </c>
      <c r="H401">
        <v>0.2</v>
      </c>
      <c r="I401">
        <v>3</v>
      </c>
      <c r="J401">
        <v>0</v>
      </c>
      <c r="L401" t="s">
        <v>634</v>
      </c>
      <c r="M401" s="1">
        <v>44676</v>
      </c>
      <c r="N401">
        <f>YEAR(Raw_Data[[#This Row],[join_date_UK]])</f>
        <v>2022</v>
      </c>
    </row>
    <row r="402" spans="1:14" x14ac:dyDescent="0.3">
      <c r="A402" t="s">
        <v>768</v>
      </c>
      <c r="B402" t="s">
        <v>39</v>
      </c>
      <c r="C402">
        <v>13</v>
      </c>
      <c r="D402" t="s">
        <v>34</v>
      </c>
      <c r="E402" t="s">
        <v>94</v>
      </c>
      <c r="F402">
        <v>16.100000000000001</v>
      </c>
      <c r="G402">
        <v>489</v>
      </c>
      <c r="H402">
        <v>0.25</v>
      </c>
      <c r="I402">
        <v>3</v>
      </c>
      <c r="J402">
        <v>1</v>
      </c>
      <c r="K402">
        <v>12.99</v>
      </c>
      <c r="L402" t="s">
        <v>769</v>
      </c>
      <c r="M402" s="1">
        <v>45486</v>
      </c>
      <c r="N402">
        <f>YEAR(Raw_Data[[#This Row],[join_date_UK]])</f>
        <v>2024</v>
      </c>
    </row>
    <row r="403" spans="1:14" x14ac:dyDescent="0.3">
      <c r="A403" t="s">
        <v>770</v>
      </c>
      <c r="B403" t="s">
        <v>22</v>
      </c>
      <c r="C403">
        <v>61</v>
      </c>
      <c r="D403" t="s">
        <v>34</v>
      </c>
      <c r="E403" t="s">
        <v>94</v>
      </c>
      <c r="F403">
        <v>10.3</v>
      </c>
      <c r="G403">
        <v>493</v>
      </c>
      <c r="H403">
        <v>0.2</v>
      </c>
      <c r="I403">
        <v>3</v>
      </c>
      <c r="J403">
        <v>0</v>
      </c>
      <c r="K403">
        <v>7.99</v>
      </c>
      <c r="L403" t="s">
        <v>771</v>
      </c>
      <c r="M403" s="1">
        <v>45468</v>
      </c>
      <c r="N403">
        <f>YEAR(Raw_Data[[#This Row],[join_date_UK]])</f>
        <v>2024</v>
      </c>
    </row>
    <row r="404" spans="1:14" x14ac:dyDescent="0.3">
      <c r="A404" t="s">
        <v>772</v>
      </c>
      <c r="B404" t="s">
        <v>33</v>
      </c>
      <c r="C404">
        <v>63</v>
      </c>
      <c r="D404" t="s">
        <v>34</v>
      </c>
      <c r="E404" t="s">
        <v>94</v>
      </c>
      <c r="F404">
        <v>11.3</v>
      </c>
      <c r="G404">
        <v>526</v>
      </c>
      <c r="H404">
        <v>0.05</v>
      </c>
      <c r="I404">
        <v>3</v>
      </c>
      <c r="J404">
        <v>0</v>
      </c>
      <c r="L404" t="s">
        <v>716</v>
      </c>
      <c r="M404" s="1">
        <v>45148</v>
      </c>
      <c r="N404">
        <f>YEAR(Raw_Data[[#This Row],[join_date_UK]])</f>
        <v>2023</v>
      </c>
    </row>
    <row r="405" spans="1:14" x14ac:dyDescent="0.3">
      <c r="A405" t="s">
        <v>773</v>
      </c>
      <c r="B405" t="s">
        <v>19</v>
      </c>
      <c r="C405">
        <v>45</v>
      </c>
      <c r="D405" t="s">
        <v>23</v>
      </c>
      <c r="E405" t="s">
        <v>94</v>
      </c>
      <c r="F405">
        <v>9</v>
      </c>
      <c r="G405">
        <v>525</v>
      </c>
      <c r="H405">
        <v>0.1</v>
      </c>
      <c r="I405">
        <v>3</v>
      </c>
      <c r="J405">
        <v>1</v>
      </c>
      <c r="K405">
        <v>9.99</v>
      </c>
      <c r="L405" t="s">
        <v>774</v>
      </c>
      <c r="M405" s="1">
        <v>44982</v>
      </c>
      <c r="N405">
        <f>YEAR(Raw_Data[[#This Row],[join_date_UK]])</f>
        <v>2023</v>
      </c>
    </row>
    <row r="406" spans="1:14" x14ac:dyDescent="0.3">
      <c r="A406" t="s">
        <v>775</v>
      </c>
      <c r="B406" t="s">
        <v>26</v>
      </c>
      <c r="C406">
        <v>41</v>
      </c>
      <c r="D406" t="s">
        <v>23</v>
      </c>
      <c r="E406" t="s">
        <v>94</v>
      </c>
      <c r="F406">
        <v>11.5</v>
      </c>
      <c r="G406">
        <v>474</v>
      </c>
      <c r="H406">
        <v>0.25</v>
      </c>
      <c r="I406">
        <v>3</v>
      </c>
      <c r="J406">
        <v>0</v>
      </c>
      <c r="K406">
        <v>9.99</v>
      </c>
      <c r="L406" t="s">
        <v>776</v>
      </c>
      <c r="M406" s="1">
        <v>45124</v>
      </c>
      <c r="N406">
        <f>YEAR(Raw_Data[[#This Row],[join_date_UK]])</f>
        <v>2023</v>
      </c>
    </row>
    <row r="407" spans="1:14" x14ac:dyDescent="0.3">
      <c r="A407" t="s">
        <v>777</v>
      </c>
      <c r="B407" t="s">
        <v>19</v>
      </c>
      <c r="C407">
        <v>58</v>
      </c>
      <c r="D407" t="s">
        <v>23</v>
      </c>
      <c r="E407" t="s">
        <v>94</v>
      </c>
      <c r="F407">
        <v>2.9</v>
      </c>
      <c r="G407">
        <v>458</v>
      </c>
      <c r="H407">
        <v>0.1</v>
      </c>
      <c r="I407">
        <v>3</v>
      </c>
      <c r="J407">
        <v>0</v>
      </c>
      <c r="K407">
        <v>5</v>
      </c>
      <c r="L407" t="s">
        <v>778</v>
      </c>
      <c r="M407" s="1">
        <v>45498</v>
      </c>
      <c r="N407">
        <f>YEAR(Raw_Data[[#This Row],[join_date_UK]])</f>
        <v>2024</v>
      </c>
    </row>
    <row r="408" spans="1:14" x14ac:dyDescent="0.3">
      <c r="A408" t="s">
        <v>779</v>
      </c>
      <c r="B408" t="s">
        <v>44</v>
      </c>
      <c r="C408">
        <v>13</v>
      </c>
      <c r="D408" t="s">
        <v>23</v>
      </c>
      <c r="E408" t="s">
        <v>94</v>
      </c>
      <c r="F408">
        <v>11</v>
      </c>
      <c r="G408">
        <v>509</v>
      </c>
      <c r="H408">
        <v>0.1</v>
      </c>
      <c r="I408">
        <v>3</v>
      </c>
      <c r="J408">
        <v>0</v>
      </c>
      <c r="K408">
        <v>7.99</v>
      </c>
      <c r="L408" t="s">
        <v>255</v>
      </c>
      <c r="M408" s="1">
        <v>45100</v>
      </c>
      <c r="N408">
        <f>YEAR(Raw_Data[[#This Row],[join_date_UK]])</f>
        <v>2023</v>
      </c>
    </row>
    <row r="409" spans="1:14" x14ac:dyDescent="0.3">
      <c r="A409" t="s">
        <v>780</v>
      </c>
      <c r="B409" t="s">
        <v>26</v>
      </c>
      <c r="C409">
        <v>58</v>
      </c>
      <c r="D409" t="s">
        <v>23</v>
      </c>
      <c r="E409" t="s">
        <v>94</v>
      </c>
      <c r="F409">
        <v>9.3000000000000007</v>
      </c>
      <c r="G409">
        <v>502</v>
      </c>
      <c r="H409">
        <v>0.1</v>
      </c>
      <c r="I409">
        <v>3</v>
      </c>
      <c r="J409">
        <v>1</v>
      </c>
      <c r="K409">
        <v>9.99</v>
      </c>
      <c r="L409" t="s">
        <v>781</v>
      </c>
      <c r="M409" s="1">
        <v>44615</v>
      </c>
      <c r="N409">
        <f>YEAR(Raw_Data[[#This Row],[join_date_UK]])</f>
        <v>2022</v>
      </c>
    </row>
    <row r="410" spans="1:14" x14ac:dyDescent="0.3">
      <c r="A410" t="s">
        <v>782</v>
      </c>
      <c r="B410" t="s">
        <v>39</v>
      </c>
      <c r="C410">
        <v>26</v>
      </c>
      <c r="D410" t="s">
        <v>23</v>
      </c>
      <c r="E410" t="s">
        <v>94</v>
      </c>
      <c r="F410">
        <v>9.5</v>
      </c>
      <c r="G410">
        <v>498</v>
      </c>
      <c r="H410">
        <v>0.1</v>
      </c>
      <c r="I410">
        <v>3</v>
      </c>
      <c r="J410">
        <v>0</v>
      </c>
      <c r="K410">
        <v>9.99</v>
      </c>
      <c r="L410" t="s">
        <v>783</v>
      </c>
      <c r="M410" s="1">
        <v>44875</v>
      </c>
      <c r="N410">
        <f>YEAR(Raw_Data[[#This Row],[join_date_UK]])</f>
        <v>2022</v>
      </c>
    </row>
    <row r="411" spans="1:14" x14ac:dyDescent="0.3">
      <c r="A411" t="s">
        <v>784</v>
      </c>
      <c r="B411" t="s">
        <v>19</v>
      </c>
      <c r="C411">
        <v>20</v>
      </c>
      <c r="D411" t="s">
        <v>23</v>
      </c>
      <c r="E411" t="s">
        <v>94</v>
      </c>
      <c r="F411">
        <v>8</v>
      </c>
      <c r="G411">
        <v>516</v>
      </c>
      <c r="H411">
        <v>0.15</v>
      </c>
      <c r="I411">
        <v>3</v>
      </c>
      <c r="J411">
        <v>1</v>
      </c>
      <c r="K411">
        <v>9.99</v>
      </c>
      <c r="L411" t="s">
        <v>785</v>
      </c>
      <c r="M411" s="1">
        <v>44587</v>
      </c>
      <c r="N411">
        <f>YEAR(Raw_Data[[#This Row],[join_date_UK]])</f>
        <v>2022</v>
      </c>
    </row>
    <row r="412" spans="1:14" x14ac:dyDescent="0.3">
      <c r="A412" t="s">
        <v>786</v>
      </c>
      <c r="B412" t="s">
        <v>44</v>
      </c>
      <c r="C412">
        <v>31</v>
      </c>
      <c r="D412" t="s">
        <v>34</v>
      </c>
      <c r="E412" t="s">
        <v>94</v>
      </c>
      <c r="F412">
        <v>8</v>
      </c>
      <c r="G412">
        <v>556</v>
      </c>
      <c r="H412">
        <v>0.2</v>
      </c>
      <c r="I412">
        <v>3</v>
      </c>
      <c r="J412">
        <v>0</v>
      </c>
      <c r="K412">
        <v>7.99</v>
      </c>
      <c r="L412" t="s">
        <v>787</v>
      </c>
      <c r="M412" s="1">
        <v>45600</v>
      </c>
      <c r="N412">
        <f>YEAR(Raw_Data[[#This Row],[join_date_UK]])</f>
        <v>2024</v>
      </c>
    </row>
    <row r="413" spans="1:14" x14ac:dyDescent="0.3">
      <c r="A413" t="s">
        <v>788</v>
      </c>
      <c r="B413" t="s">
        <v>44</v>
      </c>
      <c r="C413">
        <v>38</v>
      </c>
      <c r="D413" t="s">
        <v>23</v>
      </c>
      <c r="E413" t="s">
        <v>94</v>
      </c>
      <c r="F413">
        <v>3.4</v>
      </c>
      <c r="G413">
        <v>481</v>
      </c>
      <c r="H413">
        <v>0.1</v>
      </c>
      <c r="I413">
        <v>3</v>
      </c>
      <c r="J413">
        <v>0</v>
      </c>
      <c r="L413" t="s">
        <v>789</v>
      </c>
      <c r="M413" s="1">
        <v>44735</v>
      </c>
      <c r="N413">
        <f>YEAR(Raw_Data[[#This Row],[join_date_UK]])</f>
        <v>2022</v>
      </c>
    </row>
    <row r="414" spans="1:14" x14ac:dyDescent="0.3">
      <c r="A414" t="s">
        <v>790</v>
      </c>
      <c r="B414" t="s">
        <v>39</v>
      </c>
      <c r="C414">
        <v>52</v>
      </c>
      <c r="D414" t="s">
        <v>34</v>
      </c>
      <c r="E414" t="s">
        <v>94</v>
      </c>
      <c r="F414">
        <v>13.9</v>
      </c>
      <c r="G414">
        <v>471</v>
      </c>
      <c r="H414">
        <v>0.2</v>
      </c>
      <c r="I414">
        <v>3</v>
      </c>
      <c r="J414">
        <v>0</v>
      </c>
      <c r="K414">
        <v>9.99</v>
      </c>
      <c r="L414" t="s">
        <v>577</v>
      </c>
      <c r="M414" s="1">
        <v>44754</v>
      </c>
      <c r="N414">
        <f>YEAR(Raw_Data[[#This Row],[join_date_UK]])</f>
        <v>2022</v>
      </c>
    </row>
    <row r="415" spans="1:14" x14ac:dyDescent="0.3">
      <c r="A415" t="s">
        <v>791</v>
      </c>
      <c r="B415" t="s">
        <v>29</v>
      </c>
      <c r="C415">
        <v>20</v>
      </c>
      <c r="D415" t="s">
        <v>23</v>
      </c>
      <c r="E415" t="s">
        <v>94</v>
      </c>
      <c r="F415">
        <v>2.6</v>
      </c>
      <c r="G415">
        <v>516</v>
      </c>
      <c r="H415">
        <v>0.15</v>
      </c>
      <c r="I415">
        <v>3</v>
      </c>
      <c r="J415">
        <v>1</v>
      </c>
      <c r="K415">
        <v>9.99</v>
      </c>
      <c r="L415" t="s">
        <v>792</v>
      </c>
      <c r="M415" s="1">
        <v>45033</v>
      </c>
      <c r="N415">
        <f>YEAR(Raw_Data[[#This Row],[join_date_UK]])</f>
        <v>2023</v>
      </c>
    </row>
    <row r="416" spans="1:14" x14ac:dyDescent="0.3">
      <c r="A416" t="s">
        <v>793</v>
      </c>
      <c r="B416" t="s">
        <v>44</v>
      </c>
      <c r="C416">
        <v>63</v>
      </c>
      <c r="D416" t="s">
        <v>15</v>
      </c>
      <c r="E416" t="s">
        <v>94</v>
      </c>
      <c r="F416">
        <v>12.1</v>
      </c>
      <c r="G416">
        <v>489</v>
      </c>
      <c r="H416">
        <v>0.15</v>
      </c>
      <c r="I416">
        <v>3</v>
      </c>
      <c r="J416">
        <v>1</v>
      </c>
      <c r="K416">
        <v>12.99</v>
      </c>
      <c r="L416" t="s">
        <v>794</v>
      </c>
      <c r="M416" s="1">
        <v>44816</v>
      </c>
      <c r="N416">
        <f>YEAR(Raw_Data[[#This Row],[join_date_UK]])</f>
        <v>2022</v>
      </c>
    </row>
    <row r="417" spans="1:14" x14ac:dyDescent="0.3">
      <c r="A417" t="s">
        <v>795</v>
      </c>
      <c r="B417" t="s">
        <v>29</v>
      </c>
      <c r="C417">
        <v>37</v>
      </c>
      <c r="D417" t="s">
        <v>34</v>
      </c>
      <c r="E417" t="s">
        <v>94</v>
      </c>
      <c r="F417">
        <v>7.1</v>
      </c>
      <c r="G417">
        <v>490</v>
      </c>
      <c r="H417">
        <v>0.2</v>
      </c>
      <c r="I417">
        <v>3</v>
      </c>
      <c r="J417">
        <v>0</v>
      </c>
      <c r="L417" t="s">
        <v>796</v>
      </c>
      <c r="M417" s="1">
        <v>44610</v>
      </c>
      <c r="N417">
        <f>YEAR(Raw_Data[[#This Row],[join_date_UK]])</f>
        <v>2022</v>
      </c>
    </row>
    <row r="418" spans="1:14" x14ac:dyDescent="0.3">
      <c r="A418" t="s">
        <v>797</v>
      </c>
      <c r="B418" t="s">
        <v>44</v>
      </c>
      <c r="C418">
        <v>36</v>
      </c>
      <c r="D418" t="s">
        <v>23</v>
      </c>
      <c r="E418" t="s">
        <v>94</v>
      </c>
      <c r="F418">
        <v>10.199999999999999</v>
      </c>
      <c r="G418">
        <v>444</v>
      </c>
      <c r="H418">
        <v>0.3</v>
      </c>
      <c r="I418">
        <v>3</v>
      </c>
      <c r="J418">
        <v>0</v>
      </c>
      <c r="K418">
        <v>5</v>
      </c>
      <c r="L418" t="s">
        <v>798</v>
      </c>
      <c r="M418" s="1">
        <v>44921</v>
      </c>
      <c r="N418">
        <f>YEAR(Raw_Data[[#This Row],[join_date_UK]])</f>
        <v>2022</v>
      </c>
    </row>
    <row r="419" spans="1:14" x14ac:dyDescent="0.3">
      <c r="A419" t="s">
        <v>799</v>
      </c>
      <c r="B419" t="s">
        <v>39</v>
      </c>
      <c r="C419">
        <v>39</v>
      </c>
      <c r="D419" t="s">
        <v>34</v>
      </c>
      <c r="E419" t="s">
        <v>94</v>
      </c>
      <c r="F419">
        <v>15.3</v>
      </c>
      <c r="G419">
        <v>530</v>
      </c>
      <c r="H419">
        <v>0.1</v>
      </c>
      <c r="I419">
        <v>3</v>
      </c>
      <c r="J419">
        <v>1</v>
      </c>
      <c r="K419">
        <v>9.99</v>
      </c>
      <c r="L419" t="s">
        <v>800</v>
      </c>
      <c r="M419" s="1">
        <v>45328</v>
      </c>
      <c r="N419">
        <f>YEAR(Raw_Data[[#This Row],[join_date_UK]])</f>
        <v>2024</v>
      </c>
    </row>
    <row r="420" spans="1:14" x14ac:dyDescent="0.3">
      <c r="A420" t="s">
        <v>801</v>
      </c>
      <c r="B420" t="s">
        <v>73</v>
      </c>
      <c r="C420">
        <v>49</v>
      </c>
      <c r="D420" t="s">
        <v>30</v>
      </c>
      <c r="E420" t="s">
        <v>94</v>
      </c>
      <c r="F420">
        <v>15.4</v>
      </c>
      <c r="G420">
        <v>534</v>
      </c>
      <c r="H420">
        <v>0.25</v>
      </c>
      <c r="I420">
        <v>3</v>
      </c>
      <c r="J420">
        <v>0</v>
      </c>
      <c r="K420">
        <v>9.99</v>
      </c>
      <c r="L420" t="s">
        <v>802</v>
      </c>
      <c r="M420" s="1">
        <v>44981</v>
      </c>
      <c r="N420">
        <f>YEAR(Raw_Data[[#This Row],[join_date_UK]])</f>
        <v>2023</v>
      </c>
    </row>
    <row r="421" spans="1:14" x14ac:dyDescent="0.3">
      <c r="A421" t="s">
        <v>803</v>
      </c>
      <c r="B421" t="s">
        <v>39</v>
      </c>
      <c r="C421">
        <v>35</v>
      </c>
      <c r="D421" t="s">
        <v>30</v>
      </c>
      <c r="E421" t="s">
        <v>94</v>
      </c>
      <c r="F421">
        <v>11.4</v>
      </c>
      <c r="G421">
        <v>500</v>
      </c>
      <c r="H421">
        <v>0.25</v>
      </c>
      <c r="I421">
        <v>3</v>
      </c>
      <c r="J421">
        <v>0</v>
      </c>
      <c r="K421">
        <v>9.99</v>
      </c>
      <c r="L421" t="s">
        <v>804</v>
      </c>
      <c r="M421" s="1">
        <v>44945</v>
      </c>
      <c r="N421">
        <f>YEAR(Raw_Data[[#This Row],[join_date_UK]])</f>
        <v>2023</v>
      </c>
    </row>
    <row r="422" spans="1:14" x14ac:dyDescent="0.3">
      <c r="A422" t="s">
        <v>805</v>
      </c>
      <c r="B422" t="s">
        <v>19</v>
      </c>
      <c r="C422">
        <v>31</v>
      </c>
      <c r="D422" t="s">
        <v>23</v>
      </c>
      <c r="E422" t="s">
        <v>94</v>
      </c>
      <c r="F422">
        <v>9.8000000000000007</v>
      </c>
      <c r="G422">
        <v>508</v>
      </c>
      <c r="H422">
        <v>0.3</v>
      </c>
      <c r="I422">
        <v>3</v>
      </c>
      <c r="J422">
        <v>0</v>
      </c>
      <c r="L422" t="s">
        <v>806</v>
      </c>
      <c r="M422" s="1">
        <v>44772</v>
      </c>
      <c r="N422">
        <f>YEAR(Raw_Data[[#This Row],[join_date_UK]])</f>
        <v>2022</v>
      </c>
    </row>
    <row r="423" spans="1:14" x14ac:dyDescent="0.3">
      <c r="A423" t="s">
        <v>807</v>
      </c>
      <c r="B423" t="s">
        <v>26</v>
      </c>
      <c r="C423">
        <v>61</v>
      </c>
      <c r="D423" t="s">
        <v>30</v>
      </c>
      <c r="E423" t="s">
        <v>94</v>
      </c>
      <c r="F423">
        <v>1.9</v>
      </c>
      <c r="G423">
        <v>475</v>
      </c>
      <c r="H423">
        <v>0.25</v>
      </c>
      <c r="I423">
        <v>3</v>
      </c>
      <c r="J423">
        <v>0</v>
      </c>
      <c r="K423">
        <v>7.99</v>
      </c>
      <c r="L423" t="s">
        <v>808</v>
      </c>
      <c r="M423" s="1">
        <v>45357</v>
      </c>
      <c r="N423">
        <f>YEAR(Raw_Data[[#This Row],[join_date_UK]])</f>
        <v>2024</v>
      </c>
    </row>
    <row r="424" spans="1:14" x14ac:dyDescent="0.3">
      <c r="A424" t="s">
        <v>809</v>
      </c>
      <c r="B424" t="s">
        <v>26</v>
      </c>
      <c r="C424">
        <v>53</v>
      </c>
      <c r="D424" t="s">
        <v>34</v>
      </c>
      <c r="E424" t="s">
        <v>94</v>
      </c>
      <c r="F424">
        <v>5.8</v>
      </c>
      <c r="G424">
        <v>506</v>
      </c>
      <c r="H424">
        <v>0.3</v>
      </c>
      <c r="I424">
        <v>3</v>
      </c>
      <c r="J424">
        <v>1</v>
      </c>
      <c r="K424">
        <v>12.99</v>
      </c>
      <c r="L424" t="s">
        <v>810</v>
      </c>
      <c r="M424" s="1">
        <v>44888</v>
      </c>
      <c r="N424">
        <f>YEAR(Raw_Data[[#This Row],[join_date_UK]])</f>
        <v>2022</v>
      </c>
    </row>
    <row r="425" spans="1:14" x14ac:dyDescent="0.3">
      <c r="A425" t="s">
        <v>811</v>
      </c>
      <c r="B425" t="s">
        <v>19</v>
      </c>
      <c r="C425">
        <v>45</v>
      </c>
      <c r="D425" t="s">
        <v>23</v>
      </c>
      <c r="E425" t="s">
        <v>94</v>
      </c>
      <c r="F425">
        <v>10.4</v>
      </c>
      <c r="G425">
        <v>479</v>
      </c>
      <c r="H425">
        <v>0.1</v>
      </c>
      <c r="I425">
        <v>3</v>
      </c>
      <c r="J425">
        <v>0</v>
      </c>
      <c r="K425">
        <v>12.99</v>
      </c>
      <c r="L425" t="s">
        <v>812</v>
      </c>
      <c r="M425" s="1">
        <v>44848</v>
      </c>
      <c r="N425">
        <f>YEAR(Raw_Data[[#This Row],[join_date_UK]])</f>
        <v>2022</v>
      </c>
    </row>
    <row r="426" spans="1:14" x14ac:dyDescent="0.3">
      <c r="A426" t="s">
        <v>813</v>
      </c>
      <c r="B426" t="s">
        <v>29</v>
      </c>
      <c r="C426">
        <v>22</v>
      </c>
      <c r="D426" t="s">
        <v>23</v>
      </c>
      <c r="E426" t="s">
        <v>94</v>
      </c>
      <c r="F426">
        <v>7.4</v>
      </c>
      <c r="G426">
        <v>505</v>
      </c>
      <c r="H426">
        <v>0.1</v>
      </c>
      <c r="I426">
        <v>3</v>
      </c>
      <c r="J426">
        <v>1</v>
      </c>
      <c r="K426">
        <v>7.99</v>
      </c>
      <c r="L426" t="s">
        <v>814</v>
      </c>
      <c r="M426" s="1">
        <v>45282</v>
      </c>
      <c r="N426">
        <f>YEAR(Raw_Data[[#This Row],[join_date_UK]])</f>
        <v>2023</v>
      </c>
    </row>
    <row r="427" spans="1:14" x14ac:dyDescent="0.3">
      <c r="A427" t="s">
        <v>815</v>
      </c>
      <c r="B427" t="s">
        <v>19</v>
      </c>
      <c r="C427">
        <v>61</v>
      </c>
      <c r="D427" t="s">
        <v>23</v>
      </c>
      <c r="E427" t="s">
        <v>94</v>
      </c>
      <c r="F427">
        <v>11.3</v>
      </c>
      <c r="G427">
        <v>486</v>
      </c>
      <c r="H427">
        <v>0.1</v>
      </c>
      <c r="I427">
        <v>3</v>
      </c>
      <c r="J427">
        <v>0</v>
      </c>
      <c r="L427" t="s">
        <v>816</v>
      </c>
      <c r="M427" s="1">
        <v>44970</v>
      </c>
      <c r="N427">
        <f>YEAR(Raw_Data[[#This Row],[join_date_UK]])</f>
        <v>2023</v>
      </c>
    </row>
    <row r="428" spans="1:14" x14ac:dyDescent="0.3">
      <c r="A428" t="s">
        <v>817</v>
      </c>
      <c r="B428" t="s">
        <v>33</v>
      </c>
      <c r="C428">
        <v>44</v>
      </c>
      <c r="D428" t="s">
        <v>34</v>
      </c>
      <c r="E428" t="s">
        <v>94</v>
      </c>
      <c r="F428">
        <v>8.1999999999999993</v>
      </c>
      <c r="G428">
        <v>514</v>
      </c>
      <c r="H428">
        <v>0.15</v>
      </c>
      <c r="I428">
        <v>3</v>
      </c>
      <c r="J428">
        <v>0</v>
      </c>
      <c r="K428">
        <v>9.99</v>
      </c>
      <c r="L428" t="s">
        <v>818</v>
      </c>
      <c r="M428" s="1">
        <v>44588</v>
      </c>
      <c r="N428">
        <f>YEAR(Raw_Data[[#This Row],[join_date_UK]])</f>
        <v>2022</v>
      </c>
    </row>
    <row r="429" spans="1:14" x14ac:dyDescent="0.3">
      <c r="A429" t="s">
        <v>819</v>
      </c>
      <c r="B429" t="s">
        <v>39</v>
      </c>
      <c r="C429">
        <v>15</v>
      </c>
      <c r="D429" t="s">
        <v>23</v>
      </c>
      <c r="E429" t="s">
        <v>94</v>
      </c>
      <c r="F429">
        <v>5.4</v>
      </c>
      <c r="G429">
        <v>521</v>
      </c>
      <c r="H429">
        <v>0.2</v>
      </c>
      <c r="I429">
        <v>3</v>
      </c>
      <c r="J429">
        <v>0</v>
      </c>
      <c r="K429">
        <v>5</v>
      </c>
      <c r="L429" t="s">
        <v>820</v>
      </c>
      <c r="M429" s="1">
        <v>45384</v>
      </c>
      <c r="N429">
        <f>YEAR(Raw_Data[[#This Row],[join_date_UK]])</f>
        <v>2024</v>
      </c>
    </row>
    <row r="430" spans="1:14" x14ac:dyDescent="0.3">
      <c r="A430" t="s">
        <v>821</v>
      </c>
      <c r="B430" t="s">
        <v>22</v>
      </c>
      <c r="C430">
        <v>33</v>
      </c>
      <c r="D430" t="s">
        <v>30</v>
      </c>
      <c r="E430" t="s">
        <v>94</v>
      </c>
      <c r="F430">
        <v>4.5999999999999996</v>
      </c>
      <c r="G430">
        <v>518</v>
      </c>
      <c r="H430">
        <v>0.3</v>
      </c>
      <c r="I430">
        <v>3</v>
      </c>
      <c r="J430">
        <v>0</v>
      </c>
      <c r="K430">
        <v>9.99</v>
      </c>
      <c r="L430" t="s">
        <v>822</v>
      </c>
      <c r="M430" s="1">
        <v>44884</v>
      </c>
      <c r="N430">
        <f>YEAR(Raw_Data[[#This Row],[join_date_UK]])</f>
        <v>2022</v>
      </c>
    </row>
    <row r="431" spans="1:14" x14ac:dyDescent="0.3">
      <c r="A431" t="s">
        <v>823</v>
      </c>
      <c r="B431" t="s">
        <v>19</v>
      </c>
      <c r="C431">
        <v>46</v>
      </c>
      <c r="D431" t="s">
        <v>23</v>
      </c>
      <c r="E431" t="s">
        <v>94</v>
      </c>
      <c r="F431">
        <v>7.4</v>
      </c>
      <c r="G431">
        <v>507</v>
      </c>
      <c r="H431">
        <v>0.1</v>
      </c>
      <c r="I431">
        <v>3</v>
      </c>
      <c r="J431">
        <v>0</v>
      </c>
      <c r="K431">
        <v>7.99</v>
      </c>
      <c r="L431" t="s">
        <v>112</v>
      </c>
      <c r="M431" s="1">
        <v>45219</v>
      </c>
      <c r="N431">
        <f>YEAR(Raw_Data[[#This Row],[join_date_UK]])</f>
        <v>2023</v>
      </c>
    </row>
    <row r="432" spans="1:14" x14ac:dyDescent="0.3">
      <c r="A432" t="s">
        <v>824</v>
      </c>
      <c r="B432" t="s">
        <v>39</v>
      </c>
      <c r="C432">
        <v>36</v>
      </c>
      <c r="D432" t="s">
        <v>34</v>
      </c>
      <c r="E432" t="s">
        <v>94</v>
      </c>
      <c r="F432">
        <v>17.2</v>
      </c>
      <c r="G432">
        <v>506</v>
      </c>
      <c r="H432">
        <v>0.1</v>
      </c>
      <c r="I432">
        <v>3</v>
      </c>
      <c r="J432">
        <v>1</v>
      </c>
      <c r="K432">
        <v>9.99</v>
      </c>
      <c r="L432" t="s">
        <v>825</v>
      </c>
      <c r="M432" s="1">
        <v>45159</v>
      </c>
      <c r="N432">
        <f>YEAR(Raw_Data[[#This Row],[join_date_UK]])</f>
        <v>2023</v>
      </c>
    </row>
    <row r="433" spans="1:14" x14ac:dyDescent="0.3">
      <c r="A433" t="s">
        <v>15</v>
      </c>
      <c r="B433" t="s">
        <v>44</v>
      </c>
      <c r="C433">
        <v>16</v>
      </c>
      <c r="D433" t="s">
        <v>23</v>
      </c>
      <c r="E433" t="s">
        <v>94</v>
      </c>
      <c r="F433">
        <v>11.8</v>
      </c>
      <c r="G433">
        <v>520</v>
      </c>
      <c r="H433">
        <v>0.15</v>
      </c>
      <c r="I433">
        <v>3</v>
      </c>
      <c r="J433">
        <v>0</v>
      </c>
      <c r="K433">
        <v>9.99</v>
      </c>
      <c r="L433" t="s">
        <v>826</v>
      </c>
      <c r="M433" s="1">
        <v>44827</v>
      </c>
      <c r="N433">
        <f>YEAR(Raw_Data[[#This Row],[join_date_UK]])</f>
        <v>2022</v>
      </c>
    </row>
    <row r="434" spans="1:14" x14ac:dyDescent="0.3">
      <c r="A434" t="s">
        <v>827</v>
      </c>
      <c r="B434" t="s">
        <v>22</v>
      </c>
      <c r="C434">
        <v>43</v>
      </c>
      <c r="D434" t="s">
        <v>23</v>
      </c>
      <c r="E434" t="s">
        <v>94</v>
      </c>
      <c r="F434">
        <v>4.9000000000000004</v>
      </c>
      <c r="G434">
        <v>504</v>
      </c>
      <c r="H434">
        <v>0.1</v>
      </c>
      <c r="I434">
        <v>3</v>
      </c>
      <c r="J434">
        <v>0</v>
      </c>
      <c r="L434" t="s">
        <v>828</v>
      </c>
      <c r="M434" s="1">
        <v>45267</v>
      </c>
      <c r="N434">
        <f>YEAR(Raw_Data[[#This Row],[join_date_UK]])</f>
        <v>2023</v>
      </c>
    </row>
    <row r="435" spans="1:14" x14ac:dyDescent="0.3">
      <c r="A435" t="s">
        <v>829</v>
      </c>
      <c r="B435" t="s">
        <v>73</v>
      </c>
      <c r="C435">
        <v>45</v>
      </c>
      <c r="D435" t="s">
        <v>23</v>
      </c>
      <c r="E435" t="s">
        <v>94</v>
      </c>
      <c r="F435">
        <v>15.1</v>
      </c>
      <c r="G435">
        <v>474</v>
      </c>
      <c r="H435">
        <v>0.2</v>
      </c>
      <c r="I435">
        <v>3</v>
      </c>
      <c r="J435">
        <v>0</v>
      </c>
      <c r="L435" t="s">
        <v>816</v>
      </c>
      <c r="M435" s="1">
        <v>44970</v>
      </c>
      <c r="N435">
        <f>YEAR(Raw_Data[[#This Row],[join_date_UK]])</f>
        <v>2023</v>
      </c>
    </row>
    <row r="436" spans="1:14" x14ac:dyDescent="0.3">
      <c r="A436" t="s">
        <v>830</v>
      </c>
      <c r="B436" t="s">
        <v>22</v>
      </c>
      <c r="C436">
        <v>23</v>
      </c>
      <c r="D436" t="s">
        <v>30</v>
      </c>
      <c r="E436" t="s">
        <v>94</v>
      </c>
      <c r="F436">
        <v>17.3</v>
      </c>
      <c r="G436">
        <v>490</v>
      </c>
      <c r="H436">
        <v>0.1</v>
      </c>
      <c r="I436">
        <v>3</v>
      </c>
      <c r="J436">
        <v>0</v>
      </c>
      <c r="K436">
        <v>12.99</v>
      </c>
      <c r="L436" t="s">
        <v>280</v>
      </c>
      <c r="M436" s="1">
        <v>45246</v>
      </c>
      <c r="N436">
        <f>YEAR(Raw_Data[[#This Row],[join_date_UK]])</f>
        <v>2023</v>
      </c>
    </row>
    <row r="437" spans="1:14" x14ac:dyDescent="0.3">
      <c r="A437" t="s">
        <v>831</v>
      </c>
      <c r="B437" t="s">
        <v>19</v>
      </c>
      <c r="C437">
        <v>54</v>
      </c>
      <c r="D437" t="s">
        <v>15</v>
      </c>
      <c r="E437" t="s">
        <v>94</v>
      </c>
      <c r="F437">
        <v>7.7</v>
      </c>
      <c r="G437">
        <v>496</v>
      </c>
      <c r="H437">
        <v>0.1</v>
      </c>
      <c r="I437">
        <v>3</v>
      </c>
      <c r="J437">
        <v>1</v>
      </c>
      <c r="L437" t="s">
        <v>832</v>
      </c>
      <c r="M437" s="1">
        <v>44782</v>
      </c>
      <c r="N437">
        <f>YEAR(Raw_Data[[#This Row],[join_date_UK]])</f>
        <v>2022</v>
      </c>
    </row>
    <row r="438" spans="1:14" x14ac:dyDescent="0.3">
      <c r="A438" t="s">
        <v>833</v>
      </c>
      <c r="B438" t="s">
        <v>14</v>
      </c>
      <c r="C438">
        <v>55</v>
      </c>
      <c r="D438" t="s">
        <v>34</v>
      </c>
      <c r="E438" t="s">
        <v>94</v>
      </c>
      <c r="F438">
        <v>17.2</v>
      </c>
      <c r="G438">
        <v>481</v>
      </c>
      <c r="H438">
        <v>0.25</v>
      </c>
      <c r="I438">
        <v>3</v>
      </c>
      <c r="J438">
        <v>0</v>
      </c>
      <c r="L438" t="s">
        <v>834</v>
      </c>
      <c r="M438" s="1">
        <v>45443</v>
      </c>
      <c r="N438">
        <f>YEAR(Raw_Data[[#This Row],[join_date_UK]])</f>
        <v>2024</v>
      </c>
    </row>
    <row r="439" spans="1:14" x14ac:dyDescent="0.3">
      <c r="A439" t="s">
        <v>835</v>
      </c>
      <c r="B439" t="s">
        <v>39</v>
      </c>
      <c r="C439">
        <v>48</v>
      </c>
      <c r="D439" t="s">
        <v>30</v>
      </c>
      <c r="E439" t="s">
        <v>94</v>
      </c>
      <c r="F439">
        <v>5.4</v>
      </c>
      <c r="G439">
        <v>528</v>
      </c>
      <c r="H439">
        <v>0.2</v>
      </c>
      <c r="I439">
        <v>3</v>
      </c>
      <c r="J439">
        <v>0</v>
      </c>
      <c r="K439">
        <v>9.99</v>
      </c>
      <c r="L439" t="s">
        <v>836</v>
      </c>
      <c r="M439" s="1">
        <v>45385</v>
      </c>
      <c r="N439">
        <f>YEAR(Raw_Data[[#This Row],[join_date_UK]])</f>
        <v>2024</v>
      </c>
    </row>
    <row r="440" spans="1:14" x14ac:dyDescent="0.3">
      <c r="A440" t="s">
        <v>837</v>
      </c>
      <c r="B440" t="s">
        <v>44</v>
      </c>
      <c r="C440">
        <v>38</v>
      </c>
      <c r="D440" t="s">
        <v>15</v>
      </c>
      <c r="E440" t="s">
        <v>94</v>
      </c>
      <c r="F440">
        <v>10.4</v>
      </c>
      <c r="G440">
        <v>479</v>
      </c>
      <c r="H440">
        <v>0.3</v>
      </c>
      <c r="I440">
        <v>3</v>
      </c>
      <c r="J440">
        <v>0</v>
      </c>
      <c r="K440">
        <v>5</v>
      </c>
      <c r="L440" t="s">
        <v>838</v>
      </c>
      <c r="M440" s="1">
        <v>45408</v>
      </c>
      <c r="N440">
        <f>YEAR(Raw_Data[[#This Row],[join_date_UK]])</f>
        <v>2024</v>
      </c>
    </row>
    <row r="441" spans="1:14" x14ac:dyDescent="0.3">
      <c r="A441" t="s">
        <v>839</v>
      </c>
      <c r="B441" t="s">
        <v>29</v>
      </c>
      <c r="C441">
        <v>28</v>
      </c>
      <c r="D441" t="s">
        <v>23</v>
      </c>
      <c r="E441" t="s">
        <v>94</v>
      </c>
      <c r="F441">
        <v>14.5</v>
      </c>
      <c r="G441">
        <v>516</v>
      </c>
      <c r="H441">
        <v>0.3</v>
      </c>
      <c r="I441">
        <v>3</v>
      </c>
      <c r="J441">
        <v>0</v>
      </c>
      <c r="K441">
        <v>9.99</v>
      </c>
      <c r="L441" t="s">
        <v>280</v>
      </c>
      <c r="M441" s="1">
        <v>45246</v>
      </c>
      <c r="N441">
        <f>YEAR(Raw_Data[[#This Row],[join_date_UK]])</f>
        <v>2023</v>
      </c>
    </row>
    <row r="442" spans="1:14" x14ac:dyDescent="0.3">
      <c r="A442" t="s">
        <v>840</v>
      </c>
      <c r="B442" t="s">
        <v>29</v>
      </c>
      <c r="C442">
        <v>49</v>
      </c>
      <c r="D442" t="s">
        <v>15</v>
      </c>
      <c r="E442" t="s">
        <v>94</v>
      </c>
      <c r="F442">
        <v>5.8</v>
      </c>
      <c r="G442">
        <v>507</v>
      </c>
      <c r="H442">
        <v>0.1</v>
      </c>
      <c r="I442">
        <v>3</v>
      </c>
      <c r="J442">
        <v>0</v>
      </c>
      <c r="K442">
        <v>9.99</v>
      </c>
      <c r="L442" t="s">
        <v>841</v>
      </c>
      <c r="M442" s="1">
        <v>44665</v>
      </c>
      <c r="N442">
        <f>YEAR(Raw_Data[[#This Row],[join_date_UK]])</f>
        <v>2022</v>
      </c>
    </row>
    <row r="443" spans="1:14" x14ac:dyDescent="0.3">
      <c r="A443" t="s">
        <v>842</v>
      </c>
      <c r="B443" t="s">
        <v>19</v>
      </c>
      <c r="C443">
        <v>57</v>
      </c>
      <c r="D443" t="s">
        <v>23</v>
      </c>
      <c r="E443" t="s">
        <v>94</v>
      </c>
      <c r="F443">
        <v>12.5</v>
      </c>
      <c r="G443">
        <v>473</v>
      </c>
      <c r="H443">
        <v>0.15</v>
      </c>
      <c r="I443">
        <v>3</v>
      </c>
      <c r="J443">
        <v>0</v>
      </c>
      <c r="L443" t="s">
        <v>843</v>
      </c>
      <c r="M443" s="1">
        <v>44973</v>
      </c>
      <c r="N443">
        <f>YEAR(Raw_Data[[#This Row],[join_date_UK]])</f>
        <v>2023</v>
      </c>
    </row>
    <row r="444" spans="1:14" x14ac:dyDescent="0.3">
      <c r="A444" t="s">
        <v>844</v>
      </c>
      <c r="B444" t="s">
        <v>22</v>
      </c>
      <c r="C444">
        <v>28</v>
      </c>
      <c r="D444" t="s">
        <v>23</v>
      </c>
      <c r="E444" t="s">
        <v>94</v>
      </c>
      <c r="F444">
        <v>0.2</v>
      </c>
      <c r="G444">
        <v>529</v>
      </c>
      <c r="H444">
        <v>0.25</v>
      </c>
      <c r="I444">
        <v>3</v>
      </c>
      <c r="J444">
        <v>1</v>
      </c>
      <c r="L444" t="s">
        <v>845</v>
      </c>
      <c r="M444" s="1">
        <v>45161</v>
      </c>
      <c r="N444">
        <f>YEAR(Raw_Data[[#This Row],[join_date_UK]])</f>
        <v>2023</v>
      </c>
    </row>
    <row r="445" spans="1:14" x14ac:dyDescent="0.3">
      <c r="A445" t="s">
        <v>846</v>
      </c>
      <c r="B445" t="s">
        <v>39</v>
      </c>
      <c r="C445">
        <v>33</v>
      </c>
      <c r="D445" t="s">
        <v>23</v>
      </c>
      <c r="E445" t="s">
        <v>94</v>
      </c>
      <c r="F445">
        <v>2.9</v>
      </c>
      <c r="G445">
        <v>490</v>
      </c>
      <c r="H445">
        <v>0.25</v>
      </c>
      <c r="I445">
        <v>3</v>
      </c>
      <c r="J445">
        <v>0</v>
      </c>
      <c r="K445">
        <v>12.99</v>
      </c>
      <c r="L445" t="s">
        <v>847</v>
      </c>
      <c r="M445" s="1">
        <v>45524</v>
      </c>
      <c r="N445">
        <f>YEAR(Raw_Data[[#This Row],[join_date_UK]])</f>
        <v>2024</v>
      </c>
    </row>
    <row r="446" spans="1:14" x14ac:dyDescent="0.3">
      <c r="A446" t="s">
        <v>848</v>
      </c>
      <c r="B446" t="s">
        <v>19</v>
      </c>
      <c r="C446">
        <v>53</v>
      </c>
      <c r="D446" t="s">
        <v>23</v>
      </c>
      <c r="E446" t="s">
        <v>94</v>
      </c>
      <c r="F446">
        <v>13.5</v>
      </c>
      <c r="G446">
        <v>481</v>
      </c>
      <c r="H446">
        <v>0.1</v>
      </c>
      <c r="I446">
        <v>3</v>
      </c>
      <c r="J446">
        <v>1</v>
      </c>
      <c r="L446" t="s">
        <v>849</v>
      </c>
      <c r="M446" s="1">
        <v>44872</v>
      </c>
      <c r="N446">
        <f>YEAR(Raw_Data[[#This Row],[join_date_UK]])</f>
        <v>2022</v>
      </c>
    </row>
    <row r="447" spans="1:14" x14ac:dyDescent="0.3">
      <c r="A447" t="s">
        <v>850</v>
      </c>
      <c r="B447" t="s">
        <v>22</v>
      </c>
      <c r="C447">
        <v>17</v>
      </c>
      <c r="D447" t="s">
        <v>23</v>
      </c>
      <c r="E447" t="s">
        <v>94</v>
      </c>
      <c r="F447">
        <v>17.399999999999999</v>
      </c>
      <c r="G447">
        <v>485</v>
      </c>
      <c r="H447">
        <v>0.1</v>
      </c>
      <c r="I447">
        <v>3</v>
      </c>
      <c r="J447">
        <v>1</v>
      </c>
      <c r="K447">
        <v>7.99</v>
      </c>
      <c r="L447" t="s">
        <v>851</v>
      </c>
      <c r="M447" s="1">
        <v>44844</v>
      </c>
      <c r="N447">
        <f>YEAR(Raw_Data[[#This Row],[join_date_UK]])</f>
        <v>2022</v>
      </c>
    </row>
    <row r="448" spans="1:14" x14ac:dyDescent="0.3">
      <c r="A448" t="s">
        <v>852</v>
      </c>
      <c r="B448" t="s">
        <v>39</v>
      </c>
      <c r="C448">
        <v>44</v>
      </c>
      <c r="D448" t="s">
        <v>34</v>
      </c>
      <c r="E448" t="s">
        <v>94</v>
      </c>
      <c r="F448">
        <v>9.5</v>
      </c>
      <c r="G448">
        <v>493</v>
      </c>
      <c r="H448">
        <v>0.2</v>
      </c>
      <c r="I448">
        <v>3</v>
      </c>
      <c r="J448">
        <v>0</v>
      </c>
      <c r="K448">
        <v>12.99</v>
      </c>
      <c r="L448" t="s">
        <v>853</v>
      </c>
      <c r="M448" s="1">
        <v>45494</v>
      </c>
      <c r="N448">
        <f>YEAR(Raw_Data[[#This Row],[join_date_UK]])</f>
        <v>2024</v>
      </c>
    </row>
    <row r="449" spans="1:14" x14ac:dyDescent="0.3">
      <c r="A449" t="s">
        <v>854</v>
      </c>
      <c r="B449" t="s">
        <v>14</v>
      </c>
      <c r="C449">
        <v>27</v>
      </c>
      <c r="D449" t="s">
        <v>15</v>
      </c>
      <c r="E449" t="s">
        <v>94</v>
      </c>
      <c r="F449">
        <v>8.1</v>
      </c>
      <c r="G449">
        <v>541</v>
      </c>
      <c r="H449">
        <v>0.05</v>
      </c>
      <c r="I449">
        <v>3</v>
      </c>
      <c r="J449">
        <v>0</v>
      </c>
      <c r="K449">
        <v>12.99</v>
      </c>
      <c r="L449" t="s">
        <v>855</v>
      </c>
      <c r="M449" s="1">
        <v>44669</v>
      </c>
      <c r="N449">
        <f>YEAR(Raw_Data[[#This Row],[join_date_UK]])</f>
        <v>2022</v>
      </c>
    </row>
    <row r="450" spans="1:14" x14ac:dyDescent="0.3">
      <c r="A450" t="s">
        <v>856</v>
      </c>
      <c r="B450" t="s">
        <v>73</v>
      </c>
      <c r="C450">
        <v>45</v>
      </c>
      <c r="D450" t="s">
        <v>15</v>
      </c>
      <c r="E450" t="s">
        <v>94</v>
      </c>
      <c r="F450">
        <v>23.7</v>
      </c>
      <c r="G450">
        <v>536</v>
      </c>
      <c r="H450">
        <v>0.1</v>
      </c>
      <c r="I450">
        <v>3</v>
      </c>
      <c r="J450">
        <v>0</v>
      </c>
      <c r="K450">
        <v>9.99</v>
      </c>
      <c r="L450" t="s">
        <v>857</v>
      </c>
      <c r="M450" s="1">
        <v>45115</v>
      </c>
      <c r="N450">
        <f>YEAR(Raw_Data[[#This Row],[join_date_UK]])</f>
        <v>2023</v>
      </c>
    </row>
    <row r="451" spans="1:14" x14ac:dyDescent="0.3">
      <c r="A451" t="s">
        <v>858</v>
      </c>
      <c r="B451" t="s">
        <v>73</v>
      </c>
      <c r="C451">
        <v>63</v>
      </c>
      <c r="D451" t="s">
        <v>34</v>
      </c>
      <c r="E451" t="s">
        <v>94</v>
      </c>
      <c r="F451">
        <v>12.6</v>
      </c>
      <c r="G451">
        <v>518</v>
      </c>
      <c r="H451">
        <v>0.2</v>
      </c>
      <c r="I451">
        <v>3</v>
      </c>
      <c r="J451">
        <v>1</v>
      </c>
      <c r="K451">
        <v>9.99</v>
      </c>
      <c r="L451" t="s">
        <v>859</v>
      </c>
      <c r="M451" s="1">
        <v>45310</v>
      </c>
      <c r="N451">
        <f>YEAR(Raw_Data[[#This Row],[join_date_UK]])</f>
        <v>2024</v>
      </c>
    </row>
    <row r="452" spans="1:14" x14ac:dyDescent="0.3">
      <c r="A452" t="s">
        <v>860</v>
      </c>
      <c r="B452" t="s">
        <v>39</v>
      </c>
      <c r="C452">
        <v>17</v>
      </c>
      <c r="D452" t="s">
        <v>34</v>
      </c>
      <c r="E452" t="s">
        <v>94</v>
      </c>
      <c r="F452">
        <v>9.9</v>
      </c>
      <c r="G452">
        <v>469</v>
      </c>
      <c r="H452">
        <v>0.15</v>
      </c>
      <c r="I452">
        <v>3</v>
      </c>
      <c r="J452">
        <v>0</v>
      </c>
      <c r="K452">
        <v>12.99</v>
      </c>
      <c r="L452" t="s">
        <v>861</v>
      </c>
      <c r="M452" s="1">
        <v>45422</v>
      </c>
      <c r="N452">
        <f>YEAR(Raw_Data[[#This Row],[join_date_UK]])</f>
        <v>2024</v>
      </c>
    </row>
    <row r="453" spans="1:14" x14ac:dyDescent="0.3">
      <c r="A453" t="s">
        <v>862</v>
      </c>
      <c r="B453" t="s">
        <v>14</v>
      </c>
      <c r="C453">
        <v>63</v>
      </c>
      <c r="D453" t="s">
        <v>23</v>
      </c>
      <c r="E453" t="s">
        <v>94</v>
      </c>
      <c r="F453">
        <v>7.4</v>
      </c>
      <c r="G453">
        <v>450</v>
      </c>
      <c r="H453">
        <v>0.15</v>
      </c>
      <c r="I453">
        <v>3</v>
      </c>
      <c r="J453">
        <v>0</v>
      </c>
      <c r="K453">
        <v>12.99</v>
      </c>
      <c r="L453" t="s">
        <v>863</v>
      </c>
      <c r="M453" s="1">
        <v>44986</v>
      </c>
      <c r="N453">
        <f>YEAR(Raw_Data[[#This Row],[join_date_UK]])</f>
        <v>2023</v>
      </c>
    </row>
    <row r="454" spans="1:14" x14ac:dyDescent="0.3">
      <c r="A454" t="s">
        <v>864</v>
      </c>
      <c r="B454" t="s">
        <v>29</v>
      </c>
      <c r="C454">
        <v>64</v>
      </c>
      <c r="D454" t="s">
        <v>30</v>
      </c>
      <c r="E454" t="s">
        <v>16</v>
      </c>
      <c r="F454">
        <v>15.9</v>
      </c>
      <c r="G454">
        <v>495</v>
      </c>
      <c r="H454">
        <v>0.2</v>
      </c>
      <c r="I454">
        <v>4</v>
      </c>
      <c r="J454">
        <v>0</v>
      </c>
      <c r="K454">
        <v>7.99</v>
      </c>
      <c r="L454" t="s">
        <v>865</v>
      </c>
      <c r="M454" s="1">
        <v>44971</v>
      </c>
      <c r="N454">
        <f>YEAR(Raw_Data[[#This Row],[join_date_UK]])</f>
        <v>2023</v>
      </c>
    </row>
    <row r="455" spans="1:14" x14ac:dyDescent="0.3">
      <c r="A455" t="s">
        <v>866</v>
      </c>
      <c r="B455" t="s">
        <v>39</v>
      </c>
      <c r="C455">
        <v>24</v>
      </c>
      <c r="D455" t="s">
        <v>34</v>
      </c>
      <c r="E455" t="s">
        <v>16</v>
      </c>
      <c r="F455">
        <v>17.3</v>
      </c>
      <c r="G455">
        <v>485</v>
      </c>
      <c r="H455">
        <v>0.1</v>
      </c>
      <c r="I455">
        <v>4</v>
      </c>
      <c r="J455">
        <v>0</v>
      </c>
      <c r="L455" t="s">
        <v>867</v>
      </c>
      <c r="M455" s="1">
        <v>44931</v>
      </c>
      <c r="N455">
        <f>YEAR(Raw_Data[[#This Row],[join_date_UK]])</f>
        <v>2023</v>
      </c>
    </row>
    <row r="456" spans="1:14" x14ac:dyDescent="0.3">
      <c r="A456" t="s">
        <v>868</v>
      </c>
      <c r="B456" t="s">
        <v>19</v>
      </c>
      <c r="C456">
        <v>46</v>
      </c>
      <c r="D456" t="s">
        <v>23</v>
      </c>
      <c r="E456" t="s">
        <v>16</v>
      </c>
      <c r="F456">
        <v>10.7</v>
      </c>
      <c r="G456">
        <v>485</v>
      </c>
      <c r="H456">
        <v>0.1</v>
      </c>
      <c r="I456">
        <v>4</v>
      </c>
      <c r="J456">
        <v>0</v>
      </c>
      <c r="K456">
        <v>9.99</v>
      </c>
      <c r="L456" t="s">
        <v>869</v>
      </c>
      <c r="M456" s="1">
        <v>45440</v>
      </c>
      <c r="N456">
        <f>YEAR(Raw_Data[[#This Row],[join_date_UK]])</f>
        <v>2024</v>
      </c>
    </row>
    <row r="457" spans="1:14" x14ac:dyDescent="0.3">
      <c r="A457" t="s">
        <v>870</v>
      </c>
      <c r="B457" t="s">
        <v>39</v>
      </c>
      <c r="C457">
        <v>30</v>
      </c>
      <c r="D457" t="s">
        <v>34</v>
      </c>
      <c r="E457" t="s">
        <v>16</v>
      </c>
      <c r="F457">
        <v>7.1</v>
      </c>
      <c r="G457">
        <v>494</v>
      </c>
      <c r="H457">
        <v>0.25</v>
      </c>
      <c r="I457">
        <v>4</v>
      </c>
      <c r="J457">
        <v>1</v>
      </c>
      <c r="K457">
        <v>9.99</v>
      </c>
      <c r="L457" t="s">
        <v>871</v>
      </c>
      <c r="M457" s="1">
        <v>45518</v>
      </c>
      <c r="N457">
        <f>YEAR(Raw_Data[[#This Row],[join_date_UK]])</f>
        <v>2024</v>
      </c>
    </row>
    <row r="458" spans="1:14" x14ac:dyDescent="0.3">
      <c r="A458" t="s">
        <v>872</v>
      </c>
      <c r="B458" t="s">
        <v>39</v>
      </c>
      <c r="C458">
        <v>49</v>
      </c>
      <c r="D458" t="s">
        <v>30</v>
      </c>
      <c r="E458" t="s">
        <v>16</v>
      </c>
      <c r="F458">
        <v>16.3</v>
      </c>
      <c r="G458">
        <v>531</v>
      </c>
      <c r="H458">
        <v>0.05</v>
      </c>
      <c r="I458">
        <v>4</v>
      </c>
      <c r="J458">
        <v>0</v>
      </c>
      <c r="K458">
        <v>7.99</v>
      </c>
      <c r="L458" t="s">
        <v>847</v>
      </c>
      <c r="M458" s="1">
        <v>45524</v>
      </c>
      <c r="N458">
        <f>YEAR(Raw_Data[[#This Row],[join_date_UK]])</f>
        <v>2024</v>
      </c>
    </row>
    <row r="459" spans="1:14" x14ac:dyDescent="0.3">
      <c r="A459" t="s">
        <v>873</v>
      </c>
      <c r="B459" t="s">
        <v>19</v>
      </c>
      <c r="C459">
        <v>61</v>
      </c>
      <c r="D459" t="s">
        <v>34</v>
      </c>
      <c r="E459" t="s">
        <v>16</v>
      </c>
      <c r="F459">
        <v>9.9</v>
      </c>
      <c r="G459">
        <v>501</v>
      </c>
      <c r="H459">
        <v>0.1</v>
      </c>
      <c r="I459">
        <v>4</v>
      </c>
      <c r="J459">
        <v>0</v>
      </c>
      <c r="K459">
        <v>9.99</v>
      </c>
      <c r="L459" t="s">
        <v>874</v>
      </c>
      <c r="M459" s="1">
        <v>45094</v>
      </c>
      <c r="N459">
        <f>YEAR(Raw_Data[[#This Row],[join_date_UK]])</f>
        <v>2023</v>
      </c>
    </row>
    <row r="460" spans="1:14" x14ac:dyDescent="0.3">
      <c r="A460" t="s">
        <v>875</v>
      </c>
      <c r="B460" t="s">
        <v>19</v>
      </c>
      <c r="C460">
        <v>13</v>
      </c>
      <c r="D460" t="s">
        <v>30</v>
      </c>
      <c r="E460" t="s">
        <v>16</v>
      </c>
      <c r="F460">
        <v>4.0999999999999996</v>
      </c>
      <c r="G460">
        <v>505</v>
      </c>
      <c r="H460">
        <v>0.1</v>
      </c>
      <c r="I460">
        <v>4</v>
      </c>
      <c r="J460">
        <v>1</v>
      </c>
      <c r="K460">
        <v>9.99</v>
      </c>
      <c r="L460" t="s">
        <v>876</v>
      </c>
      <c r="M460" s="1">
        <v>45068</v>
      </c>
      <c r="N460">
        <f>YEAR(Raw_Data[[#This Row],[join_date_UK]])</f>
        <v>2023</v>
      </c>
    </row>
    <row r="461" spans="1:14" x14ac:dyDescent="0.3">
      <c r="A461" t="s">
        <v>877</v>
      </c>
      <c r="B461" t="s">
        <v>39</v>
      </c>
      <c r="C461">
        <v>30</v>
      </c>
      <c r="D461" t="s">
        <v>23</v>
      </c>
      <c r="E461" t="s">
        <v>16</v>
      </c>
      <c r="F461">
        <v>2.8</v>
      </c>
      <c r="G461">
        <v>494</v>
      </c>
      <c r="H461">
        <v>0.2</v>
      </c>
      <c r="I461">
        <v>4</v>
      </c>
      <c r="J461">
        <v>0</v>
      </c>
      <c r="K461">
        <v>9.99</v>
      </c>
      <c r="L461" t="s">
        <v>878</v>
      </c>
      <c r="M461" s="1">
        <v>45121</v>
      </c>
      <c r="N461">
        <f>YEAR(Raw_Data[[#This Row],[join_date_UK]])</f>
        <v>2023</v>
      </c>
    </row>
    <row r="462" spans="1:14" x14ac:dyDescent="0.3">
      <c r="A462" t="s">
        <v>879</v>
      </c>
      <c r="B462" t="s">
        <v>44</v>
      </c>
      <c r="C462">
        <v>34</v>
      </c>
      <c r="D462" t="s">
        <v>34</v>
      </c>
      <c r="E462" t="s">
        <v>16</v>
      </c>
      <c r="F462">
        <v>4.4000000000000004</v>
      </c>
      <c r="G462">
        <v>475</v>
      </c>
      <c r="H462">
        <v>0.2</v>
      </c>
      <c r="I462">
        <v>4</v>
      </c>
      <c r="J462">
        <v>0</v>
      </c>
      <c r="L462" t="s">
        <v>321</v>
      </c>
      <c r="M462" s="1">
        <v>45140</v>
      </c>
      <c r="N462">
        <f>YEAR(Raw_Data[[#This Row],[join_date_UK]])</f>
        <v>2023</v>
      </c>
    </row>
    <row r="463" spans="1:14" x14ac:dyDescent="0.3">
      <c r="A463" t="s">
        <v>880</v>
      </c>
      <c r="B463" t="s">
        <v>14</v>
      </c>
      <c r="C463">
        <v>51</v>
      </c>
      <c r="D463" t="s">
        <v>23</v>
      </c>
      <c r="E463" t="s">
        <v>16</v>
      </c>
      <c r="F463">
        <v>5.0999999999999996</v>
      </c>
      <c r="G463">
        <v>481</v>
      </c>
      <c r="H463">
        <v>0.25</v>
      </c>
      <c r="I463">
        <v>4</v>
      </c>
      <c r="J463">
        <v>0</v>
      </c>
      <c r="K463">
        <v>7.99</v>
      </c>
      <c r="L463" t="s">
        <v>881</v>
      </c>
      <c r="M463" s="1">
        <v>45351</v>
      </c>
      <c r="N463">
        <f>YEAR(Raw_Data[[#This Row],[join_date_UK]])</f>
        <v>2024</v>
      </c>
    </row>
    <row r="464" spans="1:14" x14ac:dyDescent="0.3">
      <c r="A464" t="s">
        <v>882</v>
      </c>
      <c r="B464" t="s">
        <v>39</v>
      </c>
      <c r="C464">
        <v>15</v>
      </c>
      <c r="D464" t="s">
        <v>34</v>
      </c>
      <c r="E464" t="s">
        <v>16</v>
      </c>
      <c r="F464">
        <v>15.8</v>
      </c>
      <c r="G464">
        <v>465</v>
      </c>
      <c r="H464">
        <v>0.3</v>
      </c>
      <c r="I464">
        <v>4</v>
      </c>
      <c r="J464">
        <v>1</v>
      </c>
      <c r="L464" t="s">
        <v>431</v>
      </c>
      <c r="M464" s="1">
        <v>44673</v>
      </c>
      <c r="N464">
        <f>YEAR(Raw_Data[[#This Row],[join_date_UK]])</f>
        <v>2022</v>
      </c>
    </row>
    <row r="465" spans="1:14" x14ac:dyDescent="0.3">
      <c r="A465" t="s">
        <v>883</v>
      </c>
      <c r="B465" t="s">
        <v>39</v>
      </c>
      <c r="C465">
        <v>24</v>
      </c>
      <c r="D465" t="s">
        <v>34</v>
      </c>
      <c r="E465" t="s">
        <v>16</v>
      </c>
      <c r="F465">
        <v>9</v>
      </c>
      <c r="G465">
        <v>524</v>
      </c>
      <c r="H465">
        <v>0.3</v>
      </c>
      <c r="I465">
        <v>4</v>
      </c>
      <c r="J465">
        <v>0</v>
      </c>
      <c r="K465">
        <v>9.99</v>
      </c>
      <c r="L465" t="s">
        <v>884</v>
      </c>
      <c r="M465" s="1">
        <v>44728</v>
      </c>
      <c r="N465">
        <f>YEAR(Raw_Data[[#This Row],[join_date_UK]])</f>
        <v>2022</v>
      </c>
    </row>
    <row r="466" spans="1:14" x14ac:dyDescent="0.3">
      <c r="A466" t="s">
        <v>885</v>
      </c>
      <c r="B466" t="s">
        <v>73</v>
      </c>
      <c r="C466">
        <v>42</v>
      </c>
      <c r="D466" t="s">
        <v>34</v>
      </c>
      <c r="E466" t="s">
        <v>16</v>
      </c>
      <c r="F466">
        <v>14.6</v>
      </c>
      <c r="G466">
        <v>565</v>
      </c>
      <c r="H466">
        <v>0.1</v>
      </c>
      <c r="I466">
        <v>4</v>
      </c>
      <c r="J466">
        <v>0</v>
      </c>
      <c r="K466">
        <v>7.99</v>
      </c>
      <c r="L466" t="s">
        <v>886</v>
      </c>
      <c r="M466" s="1">
        <v>44879</v>
      </c>
      <c r="N466">
        <f>YEAR(Raw_Data[[#This Row],[join_date_UK]])</f>
        <v>2022</v>
      </c>
    </row>
    <row r="467" spans="1:14" x14ac:dyDescent="0.3">
      <c r="A467" t="s">
        <v>887</v>
      </c>
      <c r="B467" t="s">
        <v>29</v>
      </c>
      <c r="C467">
        <v>55</v>
      </c>
      <c r="D467" t="s">
        <v>34</v>
      </c>
      <c r="E467" t="s">
        <v>16</v>
      </c>
      <c r="F467">
        <v>15</v>
      </c>
      <c r="G467">
        <v>534</v>
      </c>
      <c r="H467">
        <v>0.1</v>
      </c>
      <c r="I467">
        <v>4</v>
      </c>
      <c r="J467">
        <v>1</v>
      </c>
      <c r="L467" t="s">
        <v>888</v>
      </c>
      <c r="M467" s="1">
        <v>44914</v>
      </c>
      <c r="N467">
        <f>YEAR(Raw_Data[[#This Row],[join_date_UK]])</f>
        <v>2022</v>
      </c>
    </row>
    <row r="468" spans="1:14" x14ac:dyDescent="0.3">
      <c r="A468" t="s">
        <v>889</v>
      </c>
      <c r="B468" t="s">
        <v>19</v>
      </c>
      <c r="C468">
        <v>44</v>
      </c>
      <c r="D468" t="s">
        <v>34</v>
      </c>
      <c r="E468" t="s">
        <v>16</v>
      </c>
      <c r="F468">
        <v>9.5</v>
      </c>
      <c r="G468">
        <v>535</v>
      </c>
      <c r="H468">
        <v>0.05</v>
      </c>
      <c r="I468">
        <v>4</v>
      </c>
      <c r="J468">
        <v>0</v>
      </c>
      <c r="K468">
        <v>7.99</v>
      </c>
      <c r="L468" t="s">
        <v>890</v>
      </c>
      <c r="M468" s="1">
        <v>44995</v>
      </c>
      <c r="N468">
        <f>YEAR(Raw_Data[[#This Row],[join_date_UK]])</f>
        <v>2023</v>
      </c>
    </row>
    <row r="469" spans="1:14" x14ac:dyDescent="0.3">
      <c r="A469" t="s">
        <v>891</v>
      </c>
      <c r="B469" t="s">
        <v>33</v>
      </c>
      <c r="C469">
        <v>20</v>
      </c>
      <c r="D469" t="s">
        <v>34</v>
      </c>
      <c r="E469" t="s">
        <v>16</v>
      </c>
      <c r="F469">
        <v>10.5</v>
      </c>
      <c r="G469">
        <v>478</v>
      </c>
      <c r="H469">
        <v>0.2</v>
      </c>
      <c r="I469">
        <v>4</v>
      </c>
      <c r="J469">
        <v>0</v>
      </c>
      <c r="K469">
        <v>12.99</v>
      </c>
      <c r="L469" t="s">
        <v>892</v>
      </c>
      <c r="M469" s="1">
        <v>44832</v>
      </c>
      <c r="N469">
        <f>YEAR(Raw_Data[[#This Row],[join_date_UK]])</f>
        <v>2022</v>
      </c>
    </row>
    <row r="470" spans="1:14" x14ac:dyDescent="0.3">
      <c r="A470" t="s">
        <v>893</v>
      </c>
      <c r="B470" t="s">
        <v>39</v>
      </c>
      <c r="C470">
        <v>38</v>
      </c>
      <c r="D470" t="s">
        <v>34</v>
      </c>
      <c r="E470" t="s">
        <v>16</v>
      </c>
      <c r="F470">
        <v>14.4</v>
      </c>
      <c r="G470">
        <v>504</v>
      </c>
      <c r="H470">
        <v>0.1</v>
      </c>
      <c r="I470">
        <v>4</v>
      </c>
      <c r="J470">
        <v>0</v>
      </c>
      <c r="K470">
        <v>12.99</v>
      </c>
      <c r="L470" t="s">
        <v>894</v>
      </c>
      <c r="M470" s="1">
        <v>44777</v>
      </c>
      <c r="N470">
        <f>YEAR(Raw_Data[[#This Row],[join_date_UK]])</f>
        <v>2022</v>
      </c>
    </row>
    <row r="471" spans="1:14" x14ac:dyDescent="0.3">
      <c r="A471" t="s">
        <v>895</v>
      </c>
      <c r="B471" t="s">
        <v>73</v>
      </c>
      <c r="C471">
        <v>64</v>
      </c>
      <c r="D471" t="s">
        <v>34</v>
      </c>
      <c r="E471" t="s">
        <v>16</v>
      </c>
      <c r="F471">
        <v>14</v>
      </c>
      <c r="G471">
        <v>556</v>
      </c>
      <c r="H471">
        <v>0.15</v>
      </c>
      <c r="I471">
        <v>4</v>
      </c>
      <c r="J471">
        <v>1</v>
      </c>
      <c r="K471">
        <v>7.99</v>
      </c>
      <c r="L471" t="s">
        <v>896</v>
      </c>
      <c r="M471" s="1">
        <v>44620</v>
      </c>
      <c r="N471">
        <f>YEAR(Raw_Data[[#This Row],[join_date_UK]])</f>
        <v>2022</v>
      </c>
    </row>
    <row r="472" spans="1:14" x14ac:dyDescent="0.3">
      <c r="A472" t="s">
        <v>897</v>
      </c>
      <c r="B472" t="s">
        <v>14</v>
      </c>
      <c r="C472">
        <v>45</v>
      </c>
      <c r="D472" t="s">
        <v>15</v>
      </c>
      <c r="E472" t="s">
        <v>16</v>
      </c>
      <c r="F472">
        <v>22.1</v>
      </c>
      <c r="G472">
        <v>508</v>
      </c>
      <c r="H472">
        <v>0.15</v>
      </c>
      <c r="I472">
        <v>4</v>
      </c>
      <c r="J472">
        <v>0</v>
      </c>
      <c r="K472">
        <v>9.99</v>
      </c>
      <c r="L472" t="s">
        <v>126</v>
      </c>
      <c r="M472" s="1">
        <v>45068</v>
      </c>
      <c r="N472">
        <f>YEAR(Raw_Data[[#This Row],[join_date_UK]])</f>
        <v>2023</v>
      </c>
    </row>
    <row r="473" spans="1:14" x14ac:dyDescent="0.3">
      <c r="A473" t="s">
        <v>898</v>
      </c>
      <c r="B473" t="s">
        <v>39</v>
      </c>
      <c r="C473">
        <v>23</v>
      </c>
      <c r="D473" t="s">
        <v>34</v>
      </c>
      <c r="E473" t="s">
        <v>16</v>
      </c>
      <c r="F473">
        <v>17</v>
      </c>
      <c r="G473">
        <v>458</v>
      </c>
      <c r="H473">
        <v>0.25</v>
      </c>
      <c r="I473">
        <v>4</v>
      </c>
      <c r="J473">
        <v>1</v>
      </c>
      <c r="L473" t="s">
        <v>899</v>
      </c>
      <c r="M473" s="1">
        <v>44987</v>
      </c>
      <c r="N473">
        <f>YEAR(Raw_Data[[#This Row],[join_date_UK]])</f>
        <v>2023</v>
      </c>
    </row>
    <row r="474" spans="1:14" x14ac:dyDescent="0.3">
      <c r="A474" t="s">
        <v>900</v>
      </c>
      <c r="B474" t="s">
        <v>19</v>
      </c>
      <c r="C474">
        <v>63</v>
      </c>
      <c r="D474" t="s">
        <v>23</v>
      </c>
      <c r="E474" t="s">
        <v>16</v>
      </c>
      <c r="F474">
        <v>12.9</v>
      </c>
      <c r="G474">
        <v>530</v>
      </c>
      <c r="H474">
        <v>0.15</v>
      </c>
      <c r="I474">
        <v>4</v>
      </c>
      <c r="J474">
        <v>0</v>
      </c>
      <c r="K474">
        <v>9.99</v>
      </c>
      <c r="L474" t="s">
        <v>901</v>
      </c>
      <c r="M474" s="1">
        <v>45531</v>
      </c>
      <c r="N474">
        <f>YEAR(Raw_Data[[#This Row],[join_date_UK]])</f>
        <v>2024</v>
      </c>
    </row>
    <row r="475" spans="1:14" x14ac:dyDescent="0.3">
      <c r="A475" t="s">
        <v>902</v>
      </c>
      <c r="B475" t="s">
        <v>29</v>
      </c>
      <c r="C475">
        <v>27</v>
      </c>
      <c r="D475" t="s">
        <v>23</v>
      </c>
      <c r="E475" t="s">
        <v>16</v>
      </c>
      <c r="F475">
        <v>15.7</v>
      </c>
      <c r="G475">
        <v>493</v>
      </c>
      <c r="H475">
        <v>0.25</v>
      </c>
      <c r="I475">
        <v>4</v>
      </c>
      <c r="J475">
        <v>1</v>
      </c>
      <c r="L475" t="s">
        <v>903</v>
      </c>
      <c r="M475" s="1">
        <v>44616</v>
      </c>
      <c r="N475">
        <f>YEAR(Raw_Data[[#This Row],[join_date_UK]])</f>
        <v>2022</v>
      </c>
    </row>
    <row r="476" spans="1:14" x14ac:dyDescent="0.3">
      <c r="A476" t="s">
        <v>904</v>
      </c>
      <c r="B476" t="s">
        <v>19</v>
      </c>
      <c r="C476">
        <v>44</v>
      </c>
      <c r="D476" t="s">
        <v>34</v>
      </c>
      <c r="E476" t="s">
        <v>16</v>
      </c>
      <c r="F476">
        <v>8.1999999999999993</v>
      </c>
      <c r="G476">
        <v>483</v>
      </c>
      <c r="H476">
        <v>0.1</v>
      </c>
      <c r="I476">
        <v>4</v>
      </c>
      <c r="J476">
        <v>0</v>
      </c>
      <c r="K476">
        <v>7.99</v>
      </c>
      <c r="L476" t="s">
        <v>905</v>
      </c>
      <c r="M476" s="1">
        <v>44831</v>
      </c>
      <c r="N476">
        <f>YEAR(Raw_Data[[#This Row],[join_date_UK]])</f>
        <v>2022</v>
      </c>
    </row>
    <row r="477" spans="1:14" x14ac:dyDescent="0.3">
      <c r="A477" t="s">
        <v>906</v>
      </c>
      <c r="B477" t="s">
        <v>19</v>
      </c>
      <c r="C477">
        <v>48</v>
      </c>
      <c r="D477" t="s">
        <v>23</v>
      </c>
      <c r="E477" t="s">
        <v>16</v>
      </c>
      <c r="F477">
        <v>10.5</v>
      </c>
      <c r="G477">
        <v>521</v>
      </c>
      <c r="H477">
        <v>0.1</v>
      </c>
      <c r="I477">
        <v>4</v>
      </c>
      <c r="J477">
        <v>0</v>
      </c>
      <c r="K477">
        <v>9.99</v>
      </c>
      <c r="L477" t="s">
        <v>907</v>
      </c>
      <c r="M477" s="1">
        <v>44934</v>
      </c>
      <c r="N477">
        <f>YEAR(Raw_Data[[#This Row],[join_date_UK]])</f>
        <v>2023</v>
      </c>
    </row>
    <row r="478" spans="1:14" x14ac:dyDescent="0.3">
      <c r="A478" t="s">
        <v>908</v>
      </c>
      <c r="B478" t="s">
        <v>33</v>
      </c>
      <c r="C478">
        <v>15</v>
      </c>
      <c r="D478" t="s">
        <v>34</v>
      </c>
      <c r="E478" t="s">
        <v>16</v>
      </c>
      <c r="F478">
        <v>9.9</v>
      </c>
      <c r="G478">
        <v>485</v>
      </c>
      <c r="H478">
        <v>0.25</v>
      </c>
      <c r="I478">
        <v>4</v>
      </c>
      <c r="J478">
        <v>1</v>
      </c>
      <c r="K478">
        <v>5</v>
      </c>
      <c r="L478" t="s">
        <v>542</v>
      </c>
      <c r="M478" s="1">
        <v>45109</v>
      </c>
      <c r="N478">
        <f>YEAR(Raw_Data[[#This Row],[join_date_UK]])</f>
        <v>2023</v>
      </c>
    </row>
    <row r="479" spans="1:14" x14ac:dyDescent="0.3">
      <c r="A479" t="s">
        <v>909</v>
      </c>
      <c r="B479" t="s">
        <v>44</v>
      </c>
      <c r="C479">
        <v>22</v>
      </c>
      <c r="D479" t="s">
        <v>34</v>
      </c>
      <c r="E479" t="s">
        <v>16</v>
      </c>
      <c r="F479">
        <v>4.8</v>
      </c>
      <c r="G479">
        <v>503</v>
      </c>
      <c r="H479">
        <v>0.1</v>
      </c>
      <c r="I479">
        <v>4</v>
      </c>
      <c r="J479">
        <v>0</v>
      </c>
      <c r="K479">
        <v>5</v>
      </c>
      <c r="L479" t="s">
        <v>910</v>
      </c>
      <c r="M479" s="1">
        <v>44757</v>
      </c>
      <c r="N479">
        <f>YEAR(Raw_Data[[#This Row],[join_date_UK]])</f>
        <v>2022</v>
      </c>
    </row>
    <row r="480" spans="1:14" x14ac:dyDescent="0.3">
      <c r="A480" t="s">
        <v>911</v>
      </c>
      <c r="B480" t="s">
        <v>19</v>
      </c>
      <c r="C480">
        <v>43</v>
      </c>
      <c r="D480" t="s">
        <v>34</v>
      </c>
      <c r="E480" t="s">
        <v>16</v>
      </c>
      <c r="F480">
        <v>10.199999999999999</v>
      </c>
      <c r="G480">
        <v>474</v>
      </c>
      <c r="H480">
        <v>0.05</v>
      </c>
      <c r="I480">
        <v>4</v>
      </c>
      <c r="J480">
        <v>0</v>
      </c>
      <c r="K480">
        <v>7.99</v>
      </c>
      <c r="L480" t="s">
        <v>317</v>
      </c>
      <c r="M480" s="1">
        <v>44980</v>
      </c>
      <c r="N480">
        <f>YEAR(Raw_Data[[#This Row],[join_date_UK]])</f>
        <v>2023</v>
      </c>
    </row>
    <row r="481" spans="1:14" x14ac:dyDescent="0.3">
      <c r="A481" t="s">
        <v>912</v>
      </c>
      <c r="B481" t="s">
        <v>19</v>
      </c>
      <c r="C481">
        <v>35</v>
      </c>
      <c r="D481" t="s">
        <v>34</v>
      </c>
      <c r="E481" t="s">
        <v>16</v>
      </c>
      <c r="F481">
        <v>8.1999999999999993</v>
      </c>
      <c r="G481">
        <v>493</v>
      </c>
      <c r="H481">
        <v>0.2</v>
      </c>
      <c r="I481">
        <v>4</v>
      </c>
      <c r="J481">
        <v>0</v>
      </c>
      <c r="K481">
        <v>12.99</v>
      </c>
      <c r="L481" t="s">
        <v>913</v>
      </c>
      <c r="M481" s="1">
        <v>45304</v>
      </c>
      <c r="N481">
        <f>YEAR(Raw_Data[[#This Row],[join_date_UK]])</f>
        <v>2024</v>
      </c>
    </row>
    <row r="482" spans="1:14" x14ac:dyDescent="0.3">
      <c r="A482" t="s">
        <v>914</v>
      </c>
      <c r="B482" t="s">
        <v>19</v>
      </c>
      <c r="C482">
        <v>38</v>
      </c>
      <c r="D482" t="s">
        <v>23</v>
      </c>
      <c r="E482" t="s">
        <v>16</v>
      </c>
      <c r="F482">
        <v>12.4</v>
      </c>
      <c r="G482">
        <v>496</v>
      </c>
      <c r="H482">
        <v>0.1</v>
      </c>
      <c r="I482">
        <v>4</v>
      </c>
      <c r="J482">
        <v>0</v>
      </c>
      <c r="K482">
        <v>7.99</v>
      </c>
      <c r="L482" t="s">
        <v>915</v>
      </c>
      <c r="M482" s="1">
        <v>44965</v>
      </c>
      <c r="N482">
        <f>YEAR(Raw_Data[[#This Row],[join_date_UK]])</f>
        <v>2023</v>
      </c>
    </row>
    <row r="483" spans="1:14" x14ac:dyDescent="0.3">
      <c r="A483" t="s">
        <v>916</v>
      </c>
      <c r="B483" t="s">
        <v>29</v>
      </c>
      <c r="C483">
        <v>55</v>
      </c>
      <c r="D483" t="s">
        <v>34</v>
      </c>
      <c r="E483" t="s">
        <v>16</v>
      </c>
      <c r="F483">
        <v>12.5</v>
      </c>
      <c r="G483">
        <v>498</v>
      </c>
      <c r="H483">
        <v>0.25</v>
      </c>
      <c r="I483">
        <v>4</v>
      </c>
      <c r="J483">
        <v>0</v>
      </c>
      <c r="L483" t="s">
        <v>239</v>
      </c>
      <c r="M483" s="1">
        <v>44828</v>
      </c>
      <c r="N483">
        <f>YEAR(Raw_Data[[#This Row],[join_date_UK]])</f>
        <v>2022</v>
      </c>
    </row>
    <row r="484" spans="1:14" x14ac:dyDescent="0.3">
      <c r="A484" t="s">
        <v>917</v>
      </c>
      <c r="B484" t="s">
        <v>14</v>
      </c>
      <c r="C484">
        <v>29</v>
      </c>
      <c r="D484" t="s">
        <v>23</v>
      </c>
      <c r="E484" t="s">
        <v>16</v>
      </c>
      <c r="F484">
        <v>10</v>
      </c>
      <c r="G484">
        <v>508</v>
      </c>
      <c r="H484">
        <v>0.25</v>
      </c>
      <c r="I484">
        <v>4</v>
      </c>
      <c r="J484">
        <v>0</v>
      </c>
      <c r="K484">
        <v>9.99</v>
      </c>
      <c r="L484" t="s">
        <v>918</v>
      </c>
      <c r="M484" s="1">
        <v>44952</v>
      </c>
      <c r="N484">
        <f>YEAR(Raw_Data[[#This Row],[join_date_UK]])</f>
        <v>2023</v>
      </c>
    </row>
    <row r="485" spans="1:14" x14ac:dyDescent="0.3">
      <c r="A485" t="s">
        <v>919</v>
      </c>
      <c r="B485" t="s">
        <v>19</v>
      </c>
      <c r="C485">
        <v>39</v>
      </c>
      <c r="D485" t="s">
        <v>34</v>
      </c>
      <c r="E485" t="s">
        <v>16</v>
      </c>
      <c r="F485">
        <v>6.3</v>
      </c>
      <c r="G485">
        <v>477</v>
      </c>
      <c r="H485">
        <v>0.1</v>
      </c>
      <c r="I485">
        <v>4</v>
      </c>
      <c r="J485">
        <v>0</v>
      </c>
      <c r="K485">
        <v>7.99</v>
      </c>
      <c r="L485" t="s">
        <v>323</v>
      </c>
      <c r="M485" s="1">
        <v>45473</v>
      </c>
      <c r="N485">
        <f>YEAR(Raw_Data[[#This Row],[join_date_UK]])</f>
        <v>2024</v>
      </c>
    </row>
    <row r="486" spans="1:14" x14ac:dyDescent="0.3">
      <c r="A486" t="s">
        <v>920</v>
      </c>
      <c r="B486" t="s">
        <v>19</v>
      </c>
      <c r="C486">
        <v>26</v>
      </c>
      <c r="D486" t="s">
        <v>23</v>
      </c>
      <c r="E486" t="s">
        <v>16</v>
      </c>
      <c r="F486">
        <v>16.8</v>
      </c>
      <c r="G486">
        <v>513</v>
      </c>
      <c r="H486">
        <v>0.15</v>
      </c>
      <c r="I486">
        <v>4</v>
      </c>
      <c r="J486">
        <v>0</v>
      </c>
      <c r="K486">
        <v>9.99</v>
      </c>
      <c r="L486" t="s">
        <v>921</v>
      </c>
      <c r="M486" s="1">
        <v>45511</v>
      </c>
      <c r="N486">
        <f>YEAR(Raw_Data[[#This Row],[join_date_UK]])</f>
        <v>2024</v>
      </c>
    </row>
    <row r="487" spans="1:14" x14ac:dyDescent="0.3">
      <c r="A487" t="s">
        <v>922</v>
      </c>
      <c r="B487" t="s">
        <v>39</v>
      </c>
      <c r="C487">
        <v>54</v>
      </c>
      <c r="D487" t="s">
        <v>30</v>
      </c>
      <c r="E487" t="s">
        <v>16</v>
      </c>
      <c r="F487">
        <v>13.8</v>
      </c>
      <c r="G487">
        <v>476</v>
      </c>
      <c r="H487">
        <v>0.2</v>
      </c>
      <c r="I487">
        <v>4</v>
      </c>
      <c r="J487">
        <v>0</v>
      </c>
      <c r="K487">
        <v>12.99</v>
      </c>
      <c r="L487" t="s">
        <v>166</v>
      </c>
      <c r="M487" s="1">
        <v>44919</v>
      </c>
      <c r="N487">
        <f>YEAR(Raw_Data[[#This Row],[join_date_UK]])</f>
        <v>2022</v>
      </c>
    </row>
    <row r="488" spans="1:14" x14ac:dyDescent="0.3">
      <c r="A488" t="s">
        <v>923</v>
      </c>
      <c r="B488" t="s">
        <v>29</v>
      </c>
      <c r="C488">
        <v>52</v>
      </c>
      <c r="D488" t="s">
        <v>15</v>
      </c>
      <c r="E488" t="s">
        <v>16</v>
      </c>
      <c r="F488">
        <v>1.5</v>
      </c>
      <c r="G488">
        <v>515</v>
      </c>
      <c r="H488">
        <v>0.2</v>
      </c>
      <c r="I488">
        <v>4</v>
      </c>
      <c r="J488">
        <v>1</v>
      </c>
      <c r="K488">
        <v>9.99</v>
      </c>
      <c r="L488" t="s">
        <v>924</v>
      </c>
      <c r="M488" s="1">
        <v>45465</v>
      </c>
      <c r="N488">
        <f>YEAR(Raw_Data[[#This Row],[join_date_UK]])</f>
        <v>2024</v>
      </c>
    </row>
    <row r="489" spans="1:14" x14ac:dyDescent="0.3">
      <c r="A489" t="s">
        <v>925</v>
      </c>
      <c r="B489" t="s">
        <v>39</v>
      </c>
      <c r="C489">
        <v>48</v>
      </c>
      <c r="D489" t="s">
        <v>23</v>
      </c>
      <c r="E489" t="s">
        <v>16</v>
      </c>
      <c r="F489">
        <v>8.6999999999999993</v>
      </c>
      <c r="G489">
        <v>511</v>
      </c>
      <c r="H489">
        <v>0.3</v>
      </c>
      <c r="I489">
        <v>4</v>
      </c>
      <c r="J489">
        <v>1</v>
      </c>
      <c r="L489" t="s">
        <v>926</v>
      </c>
      <c r="M489" s="1">
        <v>44822</v>
      </c>
      <c r="N489">
        <f>YEAR(Raw_Data[[#This Row],[join_date_UK]])</f>
        <v>2022</v>
      </c>
    </row>
    <row r="490" spans="1:14" x14ac:dyDescent="0.3">
      <c r="A490" t="s">
        <v>927</v>
      </c>
      <c r="B490" t="s">
        <v>39</v>
      </c>
      <c r="C490">
        <v>23</v>
      </c>
      <c r="D490" t="s">
        <v>23</v>
      </c>
      <c r="E490" t="s">
        <v>16</v>
      </c>
      <c r="F490">
        <v>11.6</v>
      </c>
      <c r="G490">
        <v>475</v>
      </c>
      <c r="H490">
        <v>0.25</v>
      </c>
      <c r="I490">
        <v>4</v>
      </c>
      <c r="J490">
        <v>1</v>
      </c>
      <c r="L490" t="s">
        <v>928</v>
      </c>
      <c r="M490" s="1">
        <v>44764</v>
      </c>
      <c r="N490">
        <f>YEAR(Raw_Data[[#This Row],[join_date_UK]])</f>
        <v>2022</v>
      </c>
    </row>
    <row r="491" spans="1:14" x14ac:dyDescent="0.3">
      <c r="A491" t="s">
        <v>929</v>
      </c>
      <c r="B491" t="s">
        <v>44</v>
      </c>
      <c r="C491">
        <v>62</v>
      </c>
      <c r="D491" t="s">
        <v>23</v>
      </c>
      <c r="E491" t="s">
        <v>16</v>
      </c>
      <c r="F491">
        <v>7.9</v>
      </c>
      <c r="G491">
        <v>511</v>
      </c>
      <c r="H491">
        <v>0.2</v>
      </c>
      <c r="I491">
        <v>4</v>
      </c>
      <c r="J491">
        <v>0</v>
      </c>
      <c r="K491">
        <v>5</v>
      </c>
      <c r="L491" t="s">
        <v>930</v>
      </c>
      <c r="M491" s="1">
        <v>44594</v>
      </c>
      <c r="N491">
        <f>YEAR(Raw_Data[[#This Row],[join_date_UK]])</f>
        <v>2022</v>
      </c>
    </row>
    <row r="492" spans="1:14" x14ac:dyDescent="0.3">
      <c r="A492" t="s">
        <v>931</v>
      </c>
      <c r="B492" t="s">
        <v>29</v>
      </c>
      <c r="C492">
        <v>41</v>
      </c>
      <c r="D492" t="s">
        <v>23</v>
      </c>
      <c r="E492" t="s">
        <v>16</v>
      </c>
      <c r="F492">
        <v>0.6</v>
      </c>
      <c r="G492">
        <v>463</v>
      </c>
      <c r="H492">
        <v>0.25</v>
      </c>
      <c r="I492">
        <v>4</v>
      </c>
      <c r="J492">
        <v>1</v>
      </c>
      <c r="K492">
        <v>9.99</v>
      </c>
      <c r="L492" t="s">
        <v>190</v>
      </c>
      <c r="M492" s="1">
        <v>44590</v>
      </c>
      <c r="N492">
        <f>YEAR(Raw_Data[[#This Row],[join_date_UK]])</f>
        <v>2022</v>
      </c>
    </row>
    <row r="493" spans="1:14" x14ac:dyDescent="0.3">
      <c r="A493" t="s">
        <v>932</v>
      </c>
      <c r="B493" t="s">
        <v>39</v>
      </c>
      <c r="C493">
        <v>42</v>
      </c>
      <c r="D493" t="s">
        <v>23</v>
      </c>
      <c r="E493" t="s">
        <v>16</v>
      </c>
      <c r="F493">
        <v>14.6</v>
      </c>
      <c r="G493">
        <v>479</v>
      </c>
      <c r="H493">
        <v>0.3</v>
      </c>
      <c r="I493">
        <v>4</v>
      </c>
      <c r="J493">
        <v>0</v>
      </c>
      <c r="K493">
        <v>9.99</v>
      </c>
      <c r="L493" t="s">
        <v>933</v>
      </c>
      <c r="M493" s="1">
        <v>45500</v>
      </c>
      <c r="N493">
        <f>YEAR(Raw_Data[[#This Row],[join_date_UK]])</f>
        <v>2024</v>
      </c>
    </row>
    <row r="494" spans="1:14" x14ac:dyDescent="0.3">
      <c r="A494" t="s">
        <v>934</v>
      </c>
      <c r="B494" t="s">
        <v>26</v>
      </c>
      <c r="C494">
        <v>56</v>
      </c>
      <c r="D494" t="s">
        <v>15</v>
      </c>
      <c r="E494" t="s">
        <v>16</v>
      </c>
      <c r="F494">
        <v>14.5</v>
      </c>
      <c r="G494">
        <v>531</v>
      </c>
      <c r="H494">
        <v>0.25</v>
      </c>
      <c r="I494">
        <v>4</v>
      </c>
      <c r="J494">
        <v>0</v>
      </c>
      <c r="L494" t="s">
        <v>935</v>
      </c>
      <c r="M494" s="1">
        <v>44710</v>
      </c>
      <c r="N494">
        <f>YEAR(Raw_Data[[#This Row],[join_date_UK]])</f>
        <v>2022</v>
      </c>
    </row>
    <row r="495" spans="1:14" x14ac:dyDescent="0.3">
      <c r="A495" t="s">
        <v>936</v>
      </c>
      <c r="B495" t="s">
        <v>39</v>
      </c>
      <c r="C495">
        <v>57</v>
      </c>
      <c r="D495" t="s">
        <v>34</v>
      </c>
      <c r="E495" t="s">
        <v>16</v>
      </c>
      <c r="F495">
        <v>13.9</v>
      </c>
      <c r="G495">
        <v>491</v>
      </c>
      <c r="H495">
        <v>0.1</v>
      </c>
      <c r="I495">
        <v>4</v>
      </c>
      <c r="J495">
        <v>1</v>
      </c>
      <c r="K495">
        <v>7.99</v>
      </c>
      <c r="L495" t="s">
        <v>937</v>
      </c>
      <c r="M495" s="1">
        <v>45320</v>
      </c>
      <c r="N495">
        <f>YEAR(Raw_Data[[#This Row],[join_date_UK]])</f>
        <v>2024</v>
      </c>
    </row>
    <row r="496" spans="1:14" x14ac:dyDescent="0.3">
      <c r="A496" t="s">
        <v>938</v>
      </c>
      <c r="B496" t="s">
        <v>44</v>
      </c>
      <c r="C496">
        <v>57</v>
      </c>
      <c r="D496" t="s">
        <v>23</v>
      </c>
      <c r="E496" t="s">
        <v>16</v>
      </c>
      <c r="F496">
        <v>21.1</v>
      </c>
      <c r="G496">
        <v>499</v>
      </c>
      <c r="H496">
        <v>0.3</v>
      </c>
      <c r="I496">
        <v>4</v>
      </c>
      <c r="J496">
        <v>0</v>
      </c>
      <c r="K496">
        <v>9.99</v>
      </c>
      <c r="L496" t="s">
        <v>379</v>
      </c>
      <c r="M496" s="1">
        <v>45030</v>
      </c>
      <c r="N496">
        <f>YEAR(Raw_Data[[#This Row],[join_date_UK]])</f>
        <v>2023</v>
      </c>
    </row>
    <row r="497" spans="1:14" x14ac:dyDescent="0.3">
      <c r="A497" t="s">
        <v>939</v>
      </c>
      <c r="B497" t="s">
        <v>39</v>
      </c>
      <c r="C497">
        <v>44</v>
      </c>
      <c r="D497" t="s">
        <v>34</v>
      </c>
      <c r="E497" t="s">
        <v>16</v>
      </c>
      <c r="F497">
        <v>16.399999999999999</v>
      </c>
      <c r="G497">
        <v>493</v>
      </c>
      <c r="H497">
        <v>0.1</v>
      </c>
      <c r="I497">
        <v>4</v>
      </c>
      <c r="J497">
        <v>0</v>
      </c>
      <c r="K497">
        <v>7.99</v>
      </c>
      <c r="L497" t="s">
        <v>940</v>
      </c>
      <c r="M497" s="1">
        <v>44584</v>
      </c>
      <c r="N497">
        <f>YEAR(Raw_Data[[#This Row],[join_date_UK]])</f>
        <v>2022</v>
      </c>
    </row>
    <row r="498" spans="1:14" x14ac:dyDescent="0.3">
      <c r="A498" t="s">
        <v>941</v>
      </c>
      <c r="B498" t="s">
        <v>44</v>
      </c>
      <c r="C498">
        <v>29</v>
      </c>
      <c r="D498" t="s">
        <v>34</v>
      </c>
      <c r="E498" t="s">
        <v>16</v>
      </c>
      <c r="F498">
        <v>12.5</v>
      </c>
      <c r="G498">
        <v>475</v>
      </c>
      <c r="H498">
        <v>0.1</v>
      </c>
      <c r="I498">
        <v>4</v>
      </c>
      <c r="J498">
        <v>1</v>
      </c>
      <c r="K498">
        <v>7.99</v>
      </c>
      <c r="L498" t="s">
        <v>942</v>
      </c>
      <c r="M498" s="1">
        <v>45228</v>
      </c>
      <c r="N498">
        <f>YEAR(Raw_Data[[#This Row],[join_date_UK]])</f>
        <v>2023</v>
      </c>
    </row>
    <row r="499" spans="1:14" x14ac:dyDescent="0.3">
      <c r="A499" t="s">
        <v>943</v>
      </c>
      <c r="B499" t="s">
        <v>33</v>
      </c>
      <c r="C499">
        <v>22</v>
      </c>
      <c r="D499" t="s">
        <v>23</v>
      </c>
      <c r="E499" t="s">
        <v>16</v>
      </c>
      <c r="F499">
        <v>11.1</v>
      </c>
      <c r="G499">
        <v>490</v>
      </c>
      <c r="H499">
        <v>0.2</v>
      </c>
      <c r="I499">
        <v>4</v>
      </c>
      <c r="J499">
        <v>0</v>
      </c>
      <c r="K499">
        <v>12.99</v>
      </c>
      <c r="L499" t="s">
        <v>944</v>
      </c>
      <c r="M499" s="1">
        <v>44884</v>
      </c>
      <c r="N499">
        <f>YEAR(Raw_Data[[#This Row],[join_date_UK]])</f>
        <v>2022</v>
      </c>
    </row>
    <row r="500" spans="1:14" x14ac:dyDescent="0.3">
      <c r="A500" t="s">
        <v>945</v>
      </c>
      <c r="B500" t="s">
        <v>33</v>
      </c>
      <c r="C500">
        <v>63</v>
      </c>
      <c r="D500" t="s">
        <v>34</v>
      </c>
      <c r="E500" t="s">
        <v>16</v>
      </c>
      <c r="F500">
        <v>10.7</v>
      </c>
      <c r="G500">
        <v>528</v>
      </c>
      <c r="H500">
        <v>0.2</v>
      </c>
      <c r="I500">
        <v>4</v>
      </c>
      <c r="J500">
        <v>0</v>
      </c>
      <c r="K500">
        <v>7.99</v>
      </c>
      <c r="L500" t="s">
        <v>946</v>
      </c>
      <c r="M500" s="1">
        <v>44833</v>
      </c>
      <c r="N500">
        <f>YEAR(Raw_Data[[#This Row],[join_date_UK]])</f>
        <v>2022</v>
      </c>
    </row>
    <row r="501" spans="1:14" x14ac:dyDescent="0.3">
      <c r="A501" t="s">
        <v>947</v>
      </c>
      <c r="B501" t="s">
        <v>33</v>
      </c>
      <c r="C501">
        <v>37</v>
      </c>
      <c r="D501" t="s">
        <v>30</v>
      </c>
      <c r="E501" t="s">
        <v>16</v>
      </c>
      <c r="F501">
        <v>10.7</v>
      </c>
      <c r="G501">
        <v>544</v>
      </c>
      <c r="H501">
        <v>0.1</v>
      </c>
      <c r="I501">
        <v>4</v>
      </c>
      <c r="J501">
        <v>0</v>
      </c>
      <c r="K501">
        <v>7.99</v>
      </c>
      <c r="L501" t="s">
        <v>948</v>
      </c>
      <c r="M501" s="1">
        <v>45008</v>
      </c>
      <c r="N501">
        <f>YEAR(Raw_Data[[#This Row],[join_date_UK]])</f>
        <v>2023</v>
      </c>
    </row>
    <row r="502" spans="1:14" x14ac:dyDescent="0.3">
      <c r="A502" t="s">
        <v>949</v>
      </c>
      <c r="B502" t="s">
        <v>29</v>
      </c>
      <c r="C502">
        <v>40</v>
      </c>
      <c r="D502" t="s">
        <v>34</v>
      </c>
      <c r="E502" t="s">
        <v>16</v>
      </c>
      <c r="F502">
        <v>17</v>
      </c>
      <c r="G502">
        <v>500</v>
      </c>
      <c r="H502">
        <v>0.1</v>
      </c>
      <c r="I502">
        <v>4</v>
      </c>
      <c r="J502">
        <v>0</v>
      </c>
      <c r="K502">
        <v>9.99</v>
      </c>
      <c r="L502" t="s">
        <v>950</v>
      </c>
      <c r="M502" s="1">
        <v>45016</v>
      </c>
      <c r="N502">
        <f>YEAR(Raw_Data[[#This Row],[join_date_UK]])</f>
        <v>2023</v>
      </c>
    </row>
    <row r="503" spans="1:14" x14ac:dyDescent="0.3">
      <c r="A503" t="s">
        <v>951</v>
      </c>
      <c r="B503" t="s">
        <v>33</v>
      </c>
      <c r="C503">
        <v>53</v>
      </c>
      <c r="D503" t="s">
        <v>23</v>
      </c>
      <c r="E503" t="s">
        <v>16</v>
      </c>
      <c r="F503">
        <v>10.199999999999999</v>
      </c>
      <c r="G503">
        <v>459</v>
      </c>
      <c r="H503">
        <v>0.2</v>
      </c>
      <c r="I503">
        <v>4</v>
      </c>
      <c r="J503">
        <v>0</v>
      </c>
      <c r="L503" t="s">
        <v>164</v>
      </c>
      <c r="M503" s="1">
        <v>44890</v>
      </c>
      <c r="N503">
        <f>YEAR(Raw_Data[[#This Row],[join_date_UK]])</f>
        <v>2022</v>
      </c>
    </row>
    <row r="504" spans="1:14" x14ac:dyDescent="0.3">
      <c r="A504" t="s">
        <v>952</v>
      </c>
      <c r="B504" t="s">
        <v>33</v>
      </c>
      <c r="C504">
        <v>30</v>
      </c>
      <c r="D504" t="s">
        <v>34</v>
      </c>
      <c r="E504" t="s">
        <v>53</v>
      </c>
      <c r="F504">
        <v>4.4000000000000004</v>
      </c>
      <c r="G504">
        <v>466</v>
      </c>
      <c r="H504">
        <v>0.2</v>
      </c>
      <c r="I504">
        <v>4</v>
      </c>
      <c r="J504">
        <v>0</v>
      </c>
      <c r="K504">
        <v>0</v>
      </c>
      <c r="L504" t="s">
        <v>198</v>
      </c>
      <c r="M504" s="1">
        <v>44910</v>
      </c>
      <c r="N504">
        <f>YEAR(Raw_Data[[#This Row],[join_date_UK]])</f>
        <v>2022</v>
      </c>
    </row>
    <row r="505" spans="1:14" x14ac:dyDescent="0.3">
      <c r="A505" t="s">
        <v>953</v>
      </c>
      <c r="B505" t="s">
        <v>22</v>
      </c>
      <c r="C505">
        <v>37</v>
      </c>
      <c r="D505" t="s">
        <v>34</v>
      </c>
      <c r="E505" t="s">
        <v>53</v>
      </c>
      <c r="F505">
        <v>16</v>
      </c>
      <c r="G505">
        <v>498</v>
      </c>
      <c r="H505">
        <v>0.25</v>
      </c>
      <c r="I505">
        <v>4</v>
      </c>
      <c r="J505">
        <v>1</v>
      </c>
      <c r="K505">
        <v>0</v>
      </c>
      <c r="L505" t="s">
        <v>954</v>
      </c>
      <c r="M505" s="1">
        <v>44966</v>
      </c>
      <c r="N505">
        <f>YEAR(Raw_Data[[#This Row],[join_date_UK]])</f>
        <v>2023</v>
      </c>
    </row>
    <row r="506" spans="1:14" x14ac:dyDescent="0.3">
      <c r="A506" t="s">
        <v>955</v>
      </c>
      <c r="B506" t="s">
        <v>26</v>
      </c>
      <c r="C506">
        <v>61</v>
      </c>
      <c r="D506" t="s">
        <v>15</v>
      </c>
      <c r="E506" t="s">
        <v>53</v>
      </c>
      <c r="F506">
        <v>14.5</v>
      </c>
      <c r="G506">
        <v>522</v>
      </c>
      <c r="H506">
        <v>0.1</v>
      </c>
      <c r="I506">
        <v>4</v>
      </c>
      <c r="J506">
        <v>1</v>
      </c>
      <c r="K506">
        <v>0</v>
      </c>
      <c r="L506" t="s">
        <v>956</v>
      </c>
      <c r="M506" s="1">
        <v>44571</v>
      </c>
      <c r="N506">
        <f>YEAR(Raw_Data[[#This Row],[join_date_UK]])</f>
        <v>2022</v>
      </c>
    </row>
    <row r="507" spans="1:14" x14ac:dyDescent="0.3">
      <c r="A507" t="s">
        <v>957</v>
      </c>
      <c r="B507" t="s">
        <v>19</v>
      </c>
      <c r="C507">
        <v>63</v>
      </c>
      <c r="D507" t="s">
        <v>23</v>
      </c>
      <c r="E507" t="s">
        <v>53</v>
      </c>
      <c r="F507">
        <v>9</v>
      </c>
      <c r="G507">
        <v>495</v>
      </c>
      <c r="H507">
        <v>0.1</v>
      </c>
      <c r="I507">
        <v>4</v>
      </c>
      <c r="J507">
        <v>0</v>
      </c>
      <c r="K507">
        <v>0</v>
      </c>
      <c r="L507" t="s">
        <v>958</v>
      </c>
      <c r="M507" s="1">
        <v>45345</v>
      </c>
      <c r="N507">
        <f>YEAR(Raw_Data[[#This Row],[join_date_UK]])</f>
        <v>2024</v>
      </c>
    </row>
    <row r="508" spans="1:14" x14ac:dyDescent="0.3">
      <c r="A508" t="s">
        <v>959</v>
      </c>
      <c r="B508" t="s">
        <v>26</v>
      </c>
      <c r="C508">
        <v>27</v>
      </c>
      <c r="D508" t="s">
        <v>23</v>
      </c>
      <c r="E508" t="s">
        <v>53</v>
      </c>
      <c r="F508">
        <v>8.1999999999999993</v>
      </c>
      <c r="G508">
        <v>510</v>
      </c>
      <c r="H508">
        <v>0.1</v>
      </c>
      <c r="I508">
        <v>4</v>
      </c>
      <c r="J508">
        <v>0</v>
      </c>
      <c r="K508">
        <v>0</v>
      </c>
      <c r="L508" t="s">
        <v>960</v>
      </c>
      <c r="M508" s="1">
        <v>44657</v>
      </c>
      <c r="N508">
        <f>YEAR(Raw_Data[[#This Row],[join_date_UK]])</f>
        <v>2022</v>
      </c>
    </row>
    <row r="509" spans="1:14" x14ac:dyDescent="0.3">
      <c r="A509" t="s">
        <v>961</v>
      </c>
      <c r="B509" t="s">
        <v>33</v>
      </c>
      <c r="C509">
        <v>63</v>
      </c>
      <c r="D509" t="s">
        <v>23</v>
      </c>
      <c r="E509" t="s">
        <v>53</v>
      </c>
      <c r="F509">
        <v>7.4</v>
      </c>
      <c r="G509">
        <v>517</v>
      </c>
      <c r="H509">
        <v>0.3</v>
      </c>
      <c r="I509">
        <v>4</v>
      </c>
      <c r="J509">
        <v>0</v>
      </c>
      <c r="K509">
        <v>0</v>
      </c>
      <c r="L509" t="s">
        <v>962</v>
      </c>
      <c r="M509" s="1">
        <v>45174</v>
      </c>
      <c r="N509">
        <f>YEAR(Raw_Data[[#This Row],[join_date_UK]])</f>
        <v>2023</v>
      </c>
    </row>
    <row r="510" spans="1:14" x14ac:dyDescent="0.3">
      <c r="A510" t="s">
        <v>963</v>
      </c>
      <c r="B510" t="s">
        <v>39</v>
      </c>
      <c r="C510">
        <v>56</v>
      </c>
      <c r="D510" t="s">
        <v>34</v>
      </c>
      <c r="E510" t="s">
        <v>53</v>
      </c>
      <c r="F510">
        <v>4.9000000000000004</v>
      </c>
      <c r="G510">
        <v>475</v>
      </c>
      <c r="H510">
        <v>0.2</v>
      </c>
      <c r="I510">
        <v>4</v>
      </c>
      <c r="J510">
        <v>1</v>
      </c>
      <c r="K510">
        <v>0</v>
      </c>
      <c r="L510" t="s">
        <v>964</v>
      </c>
      <c r="M510" s="1">
        <v>45534</v>
      </c>
      <c r="N510">
        <f>YEAR(Raw_Data[[#This Row],[join_date_UK]])</f>
        <v>2024</v>
      </c>
    </row>
    <row r="511" spans="1:14" x14ac:dyDescent="0.3">
      <c r="A511" t="s">
        <v>965</v>
      </c>
      <c r="B511" t="s">
        <v>29</v>
      </c>
      <c r="C511">
        <v>14</v>
      </c>
      <c r="D511" t="s">
        <v>15</v>
      </c>
      <c r="E511" t="s">
        <v>53</v>
      </c>
      <c r="F511">
        <v>12.9</v>
      </c>
      <c r="G511">
        <v>500</v>
      </c>
      <c r="H511">
        <v>0.25</v>
      </c>
      <c r="I511">
        <v>4</v>
      </c>
      <c r="J511">
        <v>0</v>
      </c>
      <c r="K511">
        <v>0</v>
      </c>
      <c r="L511" t="s">
        <v>966</v>
      </c>
      <c r="M511" s="1">
        <v>45236</v>
      </c>
      <c r="N511">
        <f>YEAR(Raw_Data[[#This Row],[join_date_UK]])</f>
        <v>2023</v>
      </c>
    </row>
    <row r="512" spans="1:14" x14ac:dyDescent="0.3">
      <c r="A512" t="s">
        <v>967</v>
      </c>
      <c r="B512" t="s">
        <v>19</v>
      </c>
      <c r="C512">
        <v>34</v>
      </c>
      <c r="D512" t="s">
        <v>34</v>
      </c>
      <c r="E512" t="s">
        <v>53</v>
      </c>
      <c r="F512">
        <v>17.8</v>
      </c>
      <c r="G512">
        <v>517</v>
      </c>
      <c r="H512">
        <v>0.15</v>
      </c>
      <c r="I512">
        <v>4</v>
      </c>
      <c r="J512">
        <v>0</v>
      </c>
      <c r="K512">
        <v>0</v>
      </c>
      <c r="L512" t="s">
        <v>968</v>
      </c>
      <c r="M512" s="1">
        <v>45167</v>
      </c>
      <c r="N512">
        <f>YEAR(Raw_Data[[#This Row],[join_date_UK]])</f>
        <v>2023</v>
      </c>
    </row>
    <row r="513" spans="1:14" x14ac:dyDescent="0.3">
      <c r="A513" t="s">
        <v>969</v>
      </c>
      <c r="B513" t="s">
        <v>39</v>
      </c>
      <c r="C513">
        <v>43</v>
      </c>
      <c r="D513" t="s">
        <v>34</v>
      </c>
      <c r="E513" t="s">
        <v>53</v>
      </c>
      <c r="F513">
        <v>14.2</v>
      </c>
      <c r="G513">
        <v>489</v>
      </c>
      <c r="H513">
        <v>0.3</v>
      </c>
      <c r="I513">
        <v>4</v>
      </c>
      <c r="J513">
        <v>0</v>
      </c>
      <c r="K513">
        <v>0</v>
      </c>
      <c r="L513" t="s">
        <v>970</v>
      </c>
      <c r="M513" s="1">
        <v>45129</v>
      </c>
      <c r="N513">
        <f>YEAR(Raw_Data[[#This Row],[join_date_UK]])</f>
        <v>2023</v>
      </c>
    </row>
    <row r="514" spans="1:14" x14ac:dyDescent="0.3">
      <c r="A514" t="s">
        <v>971</v>
      </c>
      <c r="B514" t="s">
        <v>19</v>
      </c>
      <c r="C514">
        <v>17</v>
      </c>
      <c r="D514" t="s">
        <v>34</v>
      </c>
      <c r="E514" t="s">
        <v>53</v>
      </c>
      <c r="F514">
        <v>12.4</v>
      </c>
      <c r="G514">
        <v>488</v>
      </c>
      <c r="H514">
        <v>0.05</v>
      </c>
      <c r="I514">
        <v>4</v>
      </c>
      <c r="J514">
        <v>1</v>
      </c>
      <c r="K514">
        <v>0</v>
      </c>
      <c r="L514" t="s">
        <v>972</v>
      </c>
      <c r="M514" s="1">
        <v>45464</v>
      </c>
      <c r="N514">
        <f>YEAR(Raw_Data[[#This Row],[join_date_UK]])</f>
        <v>2024</v>
      </c>
    </row>
    <row r="515" spans="1:14" x14ac:dyDescent="0.3">
      <c r="A515" t="s">
        <v>973</v>
      </c>
      <c r="B515" t="s">
        <v>39</v>
      </c>
      <c r="C515">
        <v>32</v>
      </c>
      <c r="D515" t="s">
        <v>15</v>
      </c>
      <c r="E515" t="s">
        <v>53</v>
      </c>
      <c r="F515">
        <v>15.6</v>
      </c>
      <c r="G515">
        <v>481</v>
      </c>
      <c r="H515">
        <v>0.25</v>
      </c>
      <c r="I515">
        <v>4</v>
      </c>
      <c r="J515">
        <v>1</v>
      </c>
      <c r="K515">
        <v>0</v>
      </c>
      <c r="L515" t="s">
        <v>323</v>
      </c>
      <c r="M515" s="1">
        <v>45473</v>
      </c>
      <c r="N515">
        <f>YEAR(Raw_Data[[#This Row],[join_date_UK]])</f>
        <v>2024</v>
      </c>
    </row>
    <row r="516" spans="1:14" x14ac:dyDescent="0.3">
      <c r="A516" t="s">
        <v>974</v>
      </c>
      <c r="B516" t="s">
        <v>14</v>
      </c>
      <c r="C516">
        <v>55</v>
      </c>
      <c r="D516" t="s">
        <v>34</v>
      </c>
      <c r="E516" t="s">
        <v>53</v>
      </c>
      <c r="F516">
        <v>10.6</v>
      </c>
      <c r="G516">
        <v>496</v>
      </c>
      <c r="H516">
        <v>0.25</v>
      </c>
      <c r="I516">
        <v>4</v>
      </c>
      <c r="J516">
        <v>1</v>
      </c>
      <c r="K516">
        <v>0</v>
      </c>
      <c r="L516" t="s">
        <v>975</v>
      </c>
      <c r="M516" s="1">
        <v>45440</v>
      </c>
      <c r="N516">
        <f>YEAR(Raw_Data[[#This Row],[join_date_UK]])</f>
        <v>2024</v>
      </c>
    </row>
    <row r="517" spans="1:14" x14ac:dyDescent="0.3">
      <c r="A517" t="s">
        <v>976</v>
      </c>
      <c r="B517" t="s">
        <v>44</v>
      </c>
      <c r="C517">
        <v>63</v>
      </c>
      <c r="D517" t="s">
        <v>15</v>
      </c>
      <c r="E517" t="s">
        <v>53</v>
      </c>
      <c r="F517">
        <v>6.5</v>
      </c>
      <c r="G517">
        <v>530</v>
      </c>
      <c r="H517">
        <v>0.15</v>
      </c>
      <c r="I517">
        <v>4</v>
      </c>
      <c r="J517">
        <v>0</v>
      </c>
      <c r="K517">
        <v>0</v>
      </c>
      <c r="L517" t="s">
        <v>977</v>
      </c>
      <c r="M517" s="1">
        <v>44784</v>
      </c>
      <c r="N517">
        <f>YEAR(Raw_Data[[#This Row],[join_date_UK]])</f>
        <v>2022</v>
      </c>
    </row>
    <row r="518" spans="1:14" x14ac:dyDescent="0.3">
      <c r="A518" t="s">
        <v>978</v>
      </c>
      <c r="B518" t="s">
        <v>39</v>
      </c>
      <c r="C518">
        <v>14</v>
      </c>
      <c r="D518" t="s">
        <v>34</v>
      </c>
      <c r="E518" t="s">
        <v>53</v>
      </c>
      <c r="F518">
        <v>14.5</v>
      </c>
      <c r="G518">
        <v>474</v>
      </c>
      <c r="H518">
        <v>0.15</v>
      </c>
      <c r="I518">
        <v>4</v>
      </c>
      <c r="J518">
        <v>0</v>
      </c>
      <c r="K518">
        <v>0</v>
      </c>
      <c r="L518" t="s">
        <v>979</v>
      </c>
      <c r="M518" s="1">
        <v>45376</v>
      </c>
      <c r="N518">
        <f>YEAR(Raw_Data[[#This Row],[join_date_UK]])</f>
        <v>2024</v>
      </c>
    </row>
    <row r="519" spans="1:14" x14ac:dyDescent="0.3">
      <c r="A519" t="s">
        <v>980</v>
      </c>
      <c r="B519" t="s">
        <v>29</v>
      </c>
      <c r="C519">
        <v>41</v>
      </c>
      <c r="D519" t="s">
        <v>15</v>
      </c>
      <c r="E519" t="s">
        <v>53</v>
      </c>
      <c r="F519">
        <v>11.2</v>
      </c>
      <c r="G519">
        <v>495</v>
      </c>
      <c r="H519">
        <v>0.1</v>
      </c>
      <c r="I519">
        <v>4</v>
      </c>
      <c r="J519">
        <v>0</v>
      </c>
      <c r="K519">
        <v>0</v>
      </c>
      <c r="L519" t="s">
        <v>792</v>
      </c>
      <c r="M519" s="1">
        <v>45033</v>
      </c>
      <c r="N519">
        <f>YEAR(Raw_Data[[#This Row],[join_date_UK]])</f>
        <v>2023</v>
      </c>
    </row>
    <row r="520" spans="1:14" x14ac:dyDescent="0.3">
      <c r="A520" t="s">
        <v>981</v>
      </c>
      <c r="B520" t="s">
        <v>26</v>
      </c>
      <c r="C520">
        <v>45</v>
      </c>
      <c r="D520" t="s">
        <v>23</v>
      </c>
      <c r="E520" t="s">
        <v>53</v>
      </c>
      <c r="F520">
        <v>5.0999999999999996</v>
      </c>
      <c r="G520">
        <v>526</v>
      </c>
      <c r="H520">
        <v>0.1</v>
      </c>
      <c r="I520">
        <v>4</v>
      </c>
      <c r="J520">
        <v>0</v>
      </c>
      <c r="K520">
        <v>0</v>
      </c>
      <c r="L520" t="s">
        <v>982</v>
      </c>
      <c r="M520" s="1">
        <v>45490</v>
      </c>
      <c r="N520">
        <f>YEAR(Raw_Data[[#This Row],[join_date_UK]])</f>
        <v>2024</v>
      </c>
    </row>
    <row r="521" spans="1:14" x14ac:dyDescent="0.3">
      <c r="A521" t="s">
        <v>983</v>
      </c>
      <c r="B521" t="s">
        <v>39</v>
      </c>
      <c r="C521">
        <v>46</v>
      </c>
      <c r="D521" t="s">
        <v>34</v>
      </c>
      <c r="E521" t="s">
        <v>53</v>
      </c>
      <c r="F521">
        <v>16</v>
      </c>
      <c r="G521">
        <v>505</v>
      </c>
      <c r="H521">
        <v>0.3</v>
      </c>
      <c r="I521">
        <v>4</v>
      </c>
      <c r="J521">
        <v>0</v>
      </c>
      <c r="K521">
        <v>0</v>
      </c>
      <c r="L521" t="s">
        <v>984</v>
      </c>
      <c r="M521" s="1">
        <v>45518</v>
      </c>
      <c r="N521">
        <f>YEAR(Raw_Data[[#This Row],[join_date_UK]])</f>
        <v>2024</v>
      </c>
    </row>
    <row r="522" spans="1:14" x14ac:dyDescent="0.3">
      <c r="A522" t="s">
        <v>985</v>
      </c>
      <c r="B522" t="s">
        <v>29</v>
      </c>
      <c r="C522">
        <v>29</v>
      </c>
      <c r="D522" t="s">
        <v>15</v>
      </c>
      <c r="E522" t="s">
        <v>53</v>
      </c>
      <c r="F522">
        <v>11.8</v>
      </c>
      <c r="G522">
        <v>486</v>
      </c>
      <c r="H522">
        <v>0.2</v>
      </c>
      <c r="I522">
        <v>4</v>
      </c>
      <c r="J522">
        <v>0</v>
      </c>
      <c r="K522">
        <v>0</v>
      </c>
      <c r="L522" t="s">
        <v>986</v>
      </c>
      <c r="M522" s="1">
        <v>45275</v>
      </c>
      <c r="N522">
        <f>YEAR(Raw_Data[[#This Row],[join_date_UK]])</f>
        <v>2023</v>
      </c>
    </row>
    <row r="523" spans="1:14" x14ac:dyDescent="0.3">
      <c r="A523" t="s">
        <v>987</v>
      </c>
      <c r="B523" t="s">
        <v>33</v>
      </c>
      <c r="C523">
        <v>21</v>
      </c>
      <c r="D523" t="s">
        <v>30</v>
      </c>
      <c r="E523" t="s">
        <v>53</v>
      </c>
      <c r="F523">
        <v>10.8</v>
      </c>
      <c r="G523">
        <v>499</v>
      </c>
      <c r="H523">
        <v>0.25</v>
      </c>
      <c r="I523">
        <v>4</v>
      </c>
      <c r="J523">
        <v>0</v>
      </c>
      <c r="K523">
        <v>0</v>
      </c>
      <c r="L523" t="s">
        <v>988</v>
      </c>
      <c r="M523" s="1">
        <v>44940</v>
      </c>
      <c r="N523">
        <f>YEAR(Raw_Data[[#This Row],[join_date_UK]])</f>
        <v>2023</v>
      </c>
    </row>
    <row r="524" spans="1:14" x14ac:dyDescent="0.3">
      <c r="A524" t="s">
        <v>989</v>
      </c>
      <c r="B524" t="s">
        <v>44</v>
      </c>
      <c r="C524">
        <v>17</v>
      </c>
      <c r="D524" t="s">
        <v>23</v>
      </c>
      <c r="E524" t="s">
        <v>53</v>
      </c>
      <c r="F524">
        <v>5.7</v>
      </c>
      <c r="G524">
        <v>472</v>
      </c>
      <c r="H524">
        <v>0.2</v>
      </c>
      <c r="I524">
        <v>4</v>
      </c>
      <c r="J524">
        <v>0</v>
      </c>
      <c r="K524">
        <v>0</v>
      </c>
      <c r="L524" t="s">
        <v>990</v>
      </c>
      <c r="M524" s="1">
        <v>45199</v>
      </c>
      <c r="N524">
        <f>YEAR(Raw_Data[[#This Row],[join_date_UK]])</f>
        <v>2023</v>
      </c>
    </row>
    <row r="525" spans="1:14" x14ac:dyDescent="0.3">
      <c r="A525" t="s">
        <v>991</v>
      </c>
      <c r="B525" t="s">
        <v>39</v>
      </c>
      <c r="C525">
        <v>22</v>
      </c>
      <c r="D525" t="s">
        <v>34</v>
      </c>
      <c r="E525" t="s">
        <v>53</v>
      </c>
      <c r="F525">
        <v>2.2999999999999998</v>
      </c>
      <c r="G525">
        <v>493</v>
      </c>
      <c r="H525">
        <v>0.15</v>
      </c>
      <c r="I525">
        <v>4</v>
      </c>
      <c r="J525">
        <v>1</v>
      </c>
      <c r="K525">
        <v>0</v>
      </c>
      <c r="L525" t="s">
        <v>992</v>
      </c>
      <c r="M525" s="1">
        <v>44763</v>
      </c>
      <c r="N525">
        <f>YEAR(Raw_Data[[#This Row],[join_date_UK]])</f>
        <v>2022</v>
      </c>
    </row>
    <row r="526" spans="1:14" x14ac:dyDescent="0.3">
      <c r="A526" t="s">
        <v>993</v>
      </c>
      <c r="B526" t="s">
        <v>14</v>
      </c>
      <c r="C526">
        <v>21</v>
      </c>
      <c r="D526" t="s">
        <v>23</v>
      </c>
      <c r="E526" t="s">
        <v>53</v>
      </c>
      <c r="F526">
        <v>12.6</v>
      </c>
      <c r="G526">
        <v>508</v>
      </c>
      <c r="H526">
        <v>0.2</v>
      </c>
      <c r="I526">
        <v>4</v>
      </c>
      <c r="J526">
        <v>1</v>
      </c>
      <c r="K526">
        <v>0</v>
      </c>
      <c r="L526" t="s">
        <v>994</v>
      </c>
      <c r="M526" s="1">
        <v>45152</v>
      </c>
      <c r="N526">
        <f>YEAR(Raw_Data[[#This Row],[join_date_UK]])</f>
        <v>2023</v>
      </c>
    </row>
    <row r="527" spans="1:14" x14ac:dyDescent="0.3">
      <c r="A527" t="s">
        <v>995</v>
      </c>
      <c r="B527" t="s">
        <v>26</v>
      </c>
      <c r="C527">
        <v>55</v>
      </c>
      <c r="D527" t="s">
        <v>23</v>
      </c>
      <c r="E527" t="s">
        <v>53</v>
      </c>
      <c r="F527">
        <v>2.5</v>
      </c>
      <c r="G527">
        <v>513</v>
      </c>
      <c r="H527">
        <v>0.1</v>
      </c>
      <c r="I527">
        <v>4</v>
      </c>
      <c r="J527">
        <v>1</v>
      </c>
      <c r="K527">
        <v>0</v>
      </c>
      <c r="L527" t="s">
        <v>996</v>
      </c>
      <c r="M527" s="1">
        <v>44759</v>
      </c>
      <c r="N527">
        <f>YEAR(Raw_Data[[#This Row],[join_date_UK]])</f>
        <v>2022</v>
      </c>
    </row>
    <row r="528" spans="1:14" x14ac:dyDescent="0.3">
      <c r="A528" t="s">
        <v>997</v>
      </c>
      <c r="B528" t="s">
        <v>39</v>
      </c>
      <c r="C528">
        <v>61</v>
      </c>
      <c r="D528" t="s">
        <v>34</v>
      </c>
      <c r="E528" t="s">
        <v>53</v>
      </c>
      <c r="F528">
        <v>7.1</v>
      </c>
      <c r="G528">
        <v>514</v>
      </c>
      <c r="H528">
        <v>0.2</v>
      </c>
      <c r="I528">
        <v>4</v>
      </c>
      <c r="J528">
        <v>0</v>
      </c>
      <c r="K528">
        <v>0</v>
      </c>
      <c r="L528" t="s">
        <v>998</v>
      </c>
      <c r="M528" s="1">
        <v>45079</v>
      </c>
      <c r="N528">
        <f>YEAR(Raw_Data[[#This Row],[join_date_UK]])</f>
        <v>2023</v>
      </c>
    </row>
    <row r="529" spans="1:14" x14ac:dyDescent="0.3">
      <c r="A529" t="s">
        <v>999</v>
      </c>
      <c r="B529" t="s">
        <v>39</v>
      </c>
      <c r="C529">
        <v>37</v>
      </c>
      <c r="D529" t="s">
        <v>23</v>
      </c>
      <c r="E529" t="s">
        <v>53</v>
      </c>
      <c r="F529">
        <v>13.9</v>
      </c>
      <c r="G529">
        <v>512</v>
      </c>
      <c r="H529">
        <v>0.2</v>
      </c>
      <c r="I529">
        <v>4</v>
      </c>
      <c r="J529">
        <v>1</v>
      </c>
      <c r="K529">
        <v>0</v>
      </c>
      <c r="L529" t="s">
        <v>78</v>
      </c>
      <c r="M529" s="1">
        <v>45329</v>
      </c>
      <c r="N529">
        <f>YEAR(Raw_Data[[#This Row],[join_date_UK]])</f>
        <v>2024</v>
      </c>
    </row>
    <row r="530" spans="1:14" x14ac:dyDescent="0.3">
      <c r="A530" t="s">
        <v>1000</v>
      </c>
      <c r="B530" t="s">
        <v>22</v>
      </c>
      <c r="C530">
        <v>29</v>
      </c>
      <c r="D530" t="s">
        <v>34</v>
      </c>
      <c r="E530" t="s">
        <v>53</v>
      </c>
      <c r="F530">
        <v>10</v>
      </c>
      <c r="G530">
        <v>484</v>
      </c>
      <c r="H530">
        <v>0.3</v>
      </c>
      <c r="I530">
        <v>4</v>
      </c>
      <c r="J530">
        <v>0</v>
      </c>
      <c r="K530">
        <v>0</v>
      </c>
      <c r="L530" t="s">
        <v>1001</v>
      </c>
      <c r="M530" s="1">
        <v>44979</v>
      </c>
      <c r="N530">
        <f>YEAR(Raw_Data[[#This Row],[join_date_UK]])</f>
        <v>2023</v>
      </c>
    </row>
    <row r="531" spans="1:14" x14ac:dyDescent="0.3">
      <c r="A531" t="s">
        <v>1002</v>
      </c>
      <c r="B531" t="s">
        <v>29</v>
      </c>
      <c r="C531">
        <v>51</v>
      </c>
      <c r="D531" t="s">
        <v>34</v>
      </c>
      <c r="E531" t="s">
        <v>66</v>
      </c>
      <c r="F531">
        <v>13.7</v>
      </c>
      <c r="G531">
        <v>498</v>
      </c>
      <c r="H531">
        <v>0.1</v>
      </c>
      <c r="I531">
        <v>4</v>
      </c>
      <c r="J531">
        <v>0</v>
      </c>
      <c r="K531">
        <v>9.99</v>
      </c>
      <c r="L531" t="s">
        <v>1003</v>
      </c>
      <c r="M531" s="1">
        <v>44868</v>
      </c>
      <c r="N531">
        <f>YEAR(Raw_Data[[#This Row],[join_date_UK]])</f>
        <v>2022</v>
      </c>
    </row>
    <row r="532" spans="1:14" x14ac:dyDescent="0.3">
      <c r="A532" t="s">
        <v>1004</v>
      </c>
      <c r="B532" t="s">
        <v>39</v>
      </c>
      <c r="C532">
        <v>61</v>
      </c>
      <c r="D532" t="s">
        <v>23</v>
      </c>
      <c r="E532" t="s">
        <v>66</v>
      </c>
      <c r="F532">
        <v>16.5</v>
      </c>
      <c r="G532">
        <v>510</v>
      </c>
      <c r="H532">
        <v>0.2</v>
      </c>
      <c r="I532">
        <v>4</v>
      </c>
      <c r="J532">
        <v>0</v>
      </c>
      <c r="L532" t="s">
        <v>1005</v>
      </c>
      <c r="M532" s="1">
        <v>45104</v>
      </c>
      <c r="N532">
        <f>YEAR(Raw_Data[[#This Row],[join_date_UK]])</f>
        <v>2023</v>
      </c>
    </row>
    <row r="533" spans="1:14" x14ac:dyDescent="0.3">
      <c r="A533" t="s">
        <v>1006</v>
      </c>
      <c r="B533" t="s">
        <v>33</v>
      </c>
      <c r="C533">
        <v>63</v>
      </c>
      <c r="D533" t="s">
        <v>30</v>
      </c>
      <c r="E533" t="s">
        <v>66</v>
      </c>
      <c r="F533">
        <v>0.3</v>
      </c>
      <c r="G533">
        <v>522</v>
      </c>
      <c r="H533">
        <v>0.1</v>
      </c>
      <c r="I533">
        <v>4</v>
      </c>
      <c r="J533">
        <v>0</v>
      </c>
      <c r="K533">
        <v>12.99</v>
      </c>
      <c r="L533" t="s">
        <v>1007</v>
      </c>
      <c r="M533" s="1">
        <v>45212</v>
      </c>
      <c r="N533">
        <f>YEAR(Raw_Data[[#This Row],[join_date_UK]])</f>
        <v>2023</v>
      </c>
    </row>
    <row r="534" spans="1:14" x14ac:dyDescent="0.3">
      <c r="A534" t="s">
        <v>1008</v>
      </c>
      <c r="B534" t="s">
        <v>44</v>
      </c>
      <c r="C534">
        <v>59</v>
      </c>
      <c r="D534" t="s">
        <v>23</v>
      </c>
      <c r="E534" t="s">
        <v>66</v>
      </c>
      <c r="F534">
        <v>3.7</v>
      </c>
      <c r="G534">
        <v>507</v>
      </c>
      <c r="H534">
        <v>0.3</v>
      </c>
      <c r="I534">
        <v>4</v>
      </c>
      <c r="J534">
        <v>1</v>
      </c>
      <c r="K534">
        <v>7.99</v>
      </c>
      <c r="L534" t="s">
        <v>1009</v>
      </c>
      <c r="M534" s="1">
        <v>44865</v>
      </c>
      <c r="N534">
        <f>YEAR(Raw_Data[[#This Row],[join_date_UK]])</f>
        <v>2022</v>
      </c>
    </row>
    <row r="535" spans="1:14" x14ac:dyDescent="0.3">
      <c r="A535" t="s">
        <v>1010</v>
      </c>
      <c r="B535" t="s">
        <v>22</v>
      </c>
      <c r="C535">
        <v>47</v>
      </c>
      <c r="D535" t="s">
        <v>34</v>
      </c>
      <c r="E535" t="s">
        <v>66</v>
      </c>
      <c r="F535">
        <v>8.6999999999999993</v>
      </c>
      <c r="G535">
        <v>502</v>
      </c>
      <c r="H535">
        <v>0.15</v>
      </c>
      <c r="I535">
        <v>4</v>
      </c>
      <c r="J535">
        <v>0</v>
      </c>
      <c r="K535">
        <v>5</v>
      </c>
      <c r="L535" t="s">
        <v>1011</v>
      </c>
      <c r="M535" s="1">
        <v>45139</v>
      </c>
      <c r="N535">
        <f>YEAR(Raw_Data[[#This Row],[join_date_UK]])</f>
        <v>2023</v>
      </c>
    </row>
    <row r="536" spans="1:14" x14ac:dyDescent="0.3">
      <c r="A536" t="s">
        <v>1012</v>
      </c>
      <c r="B536" t="s">
        <v>44</v>
      </c>
      <c r="C536">
        <v>14</v>
      </c>
      <c r="D536" t="s">
        <v>34</v>
      </c>
      <c r="E536" t="s">
        <v>66</v>
      </c>
      <c r="F536">
        <v>5.2</v>
      </c>
      <c r="G536">
        <v>523</v>
      </c>
      <c r="H536">
        <v>0.2</v>
      </c>
      <c r="I536">
        <v>4</v>
      </c>
      <c r="J536">
        <v>0</v>
      </c>
      <c r="L536" t="s">
        <v>1013</v>
      </c>
      <c r="M536" s="1">
        <v>45338</v>
      </c>
      <c r="N536">
        <f>YEAR(Raw_Data[[#This Row],[join_date_UK]])</f>
        <v>2024</v>
      </c>
    </row>
    <row r="537" spans="1:14" x14ac:dyDescent="0.3">
      <c r="A537" t="s">
        <v>1014</v>
      </c>
      <c r="B537" t="s">
        <v>22</v>
      </c>
      <c r="C537">
        <v>38</v>
      </c>
      <c r="D537" t="s">
        <v>15</v>
      </c>
      <c r="E537" t="s">
        <v>66</v>
      </c>
      <c r="F537">
        <v>17.600000000000001</v>
      </c>
      <c r="G537">
        <v>505</v>
      </c>
      <c r="H537">
        <v>0.25</v>
      </c>
      <c r="I537">
        <v>4</v>
      </c>
      <c r="J537">
        <v>0</v>
      </c>
      <c r="L537" t="s">
        <v>1015</v>
      </c>
      <c r="M537" s="1">
        <v>45368</v>
      </c>
      <c r="N537">
        <f>YEAR(Raw_Data[[#This Row],[join_date_UK]])</f>
        <v>2024</v>
      </c>
    </row>
    <row r="538" spans="1:14" x14ac:dyDescent="0.3">
      <c r="A538" t="s">
        <v>1016</v>
      </c>
      <c r="B538" t="s">
        <v>39</v>
      </c>
      <c r="C538">
        <v>43</v>
      </c>
      <c r="D538" t="s">
        <v>34</v>
      </c>
      <c r="E538" t="s">
        <v>66</v>
      </c>
      <c r="F538">
        <v>23.3</v>
      </c>
      <c r="G538">
        <v>502</v>
      </c>
      <c r="H538">
        <v>0.3</v>
      </c>
      <c r="I538">
        <v>4</v>
      </c>
      <c r="J538">
        <v>0</v>
      </c>
      <c r="L538" t="s">
        <v>1017</v>
      </c>
      <c r="M538" s="1">
        <v>44623</v>
      </c>
      <c r="N538">
        <f>YEAR(Raw_Data[[#This Row],[join_date_UK]])</f>
        <v>2022</v>
      </c>
    </row>
    <row r="539" spans="1:14" x14ac:dyDescent="0.3">
      <c r="A539" t="s">
        <v>1018</v>
      </c>
      <c r="B539" t="s">
        <v>29</v>
      </c>
      <c r="C539">
        <v>64</v>
      </c>
      <c r="D539" t="s">
        <v>34</v>
      </c>
      <c r="E539" t="s">
        <v>66</v>
      </c>
      <c r="F539">
        <v>8.1</v>
      </c>
      <c r="G539">
        <v>485</v>
      </c>
      <c r="H539">
        <v>0.1</v>
      </c>
      <c r="I539">
        <v>4</v>
      </c>
      <c r="J539">
        <v>1</v>
      </c>
      <c r="K539">
        <v>9.99</v>
      </c>
      <c r="L539" t="s">
        <v>761</v>
      </c>
      <c r="M539" s="1">
        <v>45175</v>
      </c>
      <c r="N539">
        <f>YEAR(Raw_Data[[#This Row],[join_date_UK]])</f>
        <v>2023</v>
      </c>
    </row>
    <row r="540" spans="1:14" x14ac:dyDescent="0.3">
      <c r="A540" t="s">
        <v>1019</v>
      </c>
      <c r="B540" t="s">
        <v>39</v>
      </c>
      <c r="C540">
        <v>16</v>
      </c>
      <c r="D540" t="s">
        <v>23</v>
      </c>
      <c r="E540" t="s">
        <v>66</v>
      </c>
      <c r="F540">
        <v>10.3</v>
      </c>
      <c r="G540">
        <v>498</v>
      </c>
      <c r="H540">
        <v>0.3</v>
      </c>
      <c r="I540">
        <v>4</v>
      </c>
      <c r="J540">
        <v>0</v>
      </c>
      <c r="K540">
        <v>7.99</v>
      </c>
      <c r="L540" t="s">
        <v>1020</v>
      </c>
      <c r="M540" s="1">
        <v>45136</v>
      </c>
      <c r="N540">
        <f>YEAR(Raw_Data[[#This Row],[join_date_UK]])</f>
        <v>2023</v>
      </c>
    </row>
    <row r="541" spans="1:14" x14ac:dyDescent="0.3">
      <c r="A541" t="s">
        <v>1021</v>
      </c>
      <c r="B541" t="s">
        <v>19</v>
      </c>
      <c r="C541">
        <v>13</v>
      </c>
      <c r="D541" t="s">
        <v>34</v>
      </c>
      <c r="E541" t="s">
        <v>66</v>
      </c>
      <c r="F541">
        <v>7.6</v>
      </c>
      <c r="G541">
        <v>495</v>
      </c>
      <c r="H541">
        <v>0.2</v>
      </c>
      <c r="I541">
        <v>4</v>
      </c>
      <c r="J541">
        <v>1</v>
      </c>
      <c r="K541">
        <v>9.99</v>
      </c>
      <c r="L541" t="s">
        <v>1022</v>
      </c>
      <c r="M541" s="1">
        <v>44632</v>
      </c>
      <c r="N541">
        <f>YEAR(Raw_Data[[#This Row],[join_date_UK]])</f>
        <v>2022</v>
      </c>
    </row>
    <row r="542" spans="1:14" x14ac:dyDescent="0.3">
      <c r="A542" t="s">
        <v>1023</v>
      </c>
      <c r="B542" t="s">
        <v>73</v>
      </c>
      <c r="C542">
        <v>52</v>
      </c>
      <c r="D542" t="s">
        <v>23</v>
      </c>
      <c r="E542" t="s">
        <v>66</v>
      </c>
      <c r="F542">
        <v>8.6999999999999993</v>
      </c>
      <c r="G542">
        <v>566</v>
      </c>
      <c r="H542">
        <v>0.2</v>
      </c>
      <c r="I542">
        <v>4</v>
      </c>
      <c r="J542">
        <v>0</v>
      </c>
      <c r="K542">
        <v>9.99</v>
      </c>
      <c r="L542" t="s">
        <v>1024</v>
      </c>
      <c r="M542" s="1">
        <v>45007</v>
      </c>
      <c r="N542">
        <f>YEAR(Raw_Data[[#This Row],[join_date_UK]])</f>
        <v>2023</v>
      </c>
    </row>
    <row r="543" spans="1:14" x14ac:dyDescent="0.3">
      <c r="A543" t="s">
        <v>1025</v>
      </c>
      <c r="B543" t="s">
        <v>44</v>
      </c>
      <c r="C543">
        <v>38</v>
      </c>
      <c r="D543" t="s">
        <v>34</v>
      </c>
      <c r="E543" t="s">
        <v>66</v>
      </c>
      <c r="F543">
        <v>11.3</v>
      </c>
      <c r="G543">
        <v>497</v>
      </c>
      <c r="H543">
        <v>0.15</v>
      </c>
      <c r="I543">
        <v>4</v>
      </c>
      <c r="J543">
        <v>1</v>
      </c>
      <c r="K543">
        <v>9.99</v>
      </c>
      <c r="L543" t="s">
        <v>1026</v>
      </c>
      <c r="M543" s="1">
        <v>44857</v>
      </c>
      <c r="N543">
        <f>YEAR(Raw_Data[[#This Row],[join_date_UK]])</f>
        <v>2022</v>
      </c>
    </row>
    <row r="544" spans="1:14" x14ac:dyDescent="0.3">
      <c r="A544" t="s">
        <v>1027</v>
      </c>
      <c r="B544" t="s">
        <v>19</v>
      </c>
      <c r="C544">
        <v>55</v>
      </c>
      <c r="D544" t="s">
        <v>34</v>
      </c>
      <c r="E544" t="s">
        <v>66</v>
      </c>
      <c r="F544">
        <v>5.5</v>
      </c>
      <c r="G544">
        <v>517</v>
      </c>
      <c r="H544">
        <v>0.05</v>
      </c>
      <c r="I544">
        <v>4</v>
      </c>
      <c r="J544">
        <v>0</v>
      </c>
      <c r="L544" t="s">
        <v>1028</v>
      </c>
      <c r="M544" s="1">
        <v>45224</v>
      </c>
      <c r="N544">
        <f>YEAR(Raw_Data[[#This Row],[join_date_UK]])</f>
        <v>2023</v>
      </c>
    </row>
    <row r="545" spans="1:14" x14ac:dyDescent="0.3">
      <c r="A545" t="s">
        <v>1029</v>
      </c>
      <c r="B545" t="s">
        <v>14</v>
      </c>
      <c r="C545">
        <v>13</v>
      </c>
      <c r="D545" t="s">
        <v>34</v>
      </c>
      <c r="E545" t="s">
        <v>66</v>
      </c>
      <c r="F545">
        <v>14</v>
      </c>
      <c r="G545">
        <v>475</v>
      </c>
      <c r="H545">
        <v>0.25</v>
      </c>
      <c r="I545">
        <v>4</v>
      </c>
      <c r="J545">
        <v>0</v>
      </c>
      <c r="K545">
        <v>7.99</v>
      </c>
      <c r="L545" t="s">
        <v>414</v>
      </c>
      <c r="M545" s="1">
        <v>45235</v>
      </c>
      <c r="N545">
        <f>YEAR(Raw_Data[[#This Row],[join_date_UK]])</f>
        <v>2023</v>
      </c>
    </row>
    <row r="546" spans="1:14" x14ac:dyDescent="0.3">
      <c r="A546" t="s">
        <v>1030</v>
      </c>
      <c r="B546" t="s">
        <v>39</v>
      </c>
      <c r="C546">
        <v>14</v>
      </c>
      <c r="D546" t="s">
        <v>23</v>
      </c>
      <c r="E546" t="s">
        <v>66</v>
      </c>
      <c r="F546">
        <v>13.8</v>
      </c>
      <c r="G546">
        <v>522</v>
      </c>
      <c r="H546">
        <v>0.25</v>
      </c>
      <c r="I546">
        <v>4</v>
      </c>
      <c r="J546">
        <v>1</v>
      </c>
      <c r="K546">
        <v>9.99</v>
      </c>
      <c r="L546" t="s">
        <v>1031</v>
      </c>
      <c r="M546" s="1">
        <v>44822</v>
      </c>
      <c r="N546">
        <f>YEAR(Raw_Data[[#This Row],[join_date_UK]])</f>
        <v>2022</v>
      </c>
    </row>
    <row r="547" spans="1:14" x14ac:dyDescent="0.3">
      <c r="A547" t="s">
        <v>1032</v>
      </c>
      <c r="B547" t="s">
        <v>14</v>
      </c>
      <c r="C547">
        <v>64</v>
      </c>
      <c r="D547" t="s">
        <v>23</v>
      </c>
      <c r="E547" t="s">
        <v>66</v>
      </c>
      <c r="F547">
        <v>7</v>
      </c>
      <c r="G547">
        <v>482</v>
      </c>
      <c r="H547">
        <v>0.3</v>
      </c>
      <c r="I547">
        <v>4</v>
      </c>
      <c r="J547">
        <v>0</v>
      </c>
      <c r="K547">
        <v>9.99</v>
      </c>
      <c r="L547" t="s">
        <v>1033</v>
      </c>
      <c r="M547" s="1">
        <v>45431</v>
      </c>
      <c r="N547">
        <f>YEAR(Raw_Data[[#This Row],[join_date_UK]])</f>
        <v>2024</v>
      </c>
    </row>
    <row r="548" spans="1:14" x14ac:dyDescent="0.3">
      <c r="A548" t="s">
        <v>1034</v>
      </c>
      <c r="B548" t="s">
        <v>39</v>
      </c>
      <c r="C548">
        <v>46</v>
      </c>
      <c r="D548" t="s">
        <v>23</v>
      </c>
      <c r="E548" t="s">
        <v>66</v>
      </c>
      <c r="F548">
        <v>2.4</v>
      </c>
      <c r="G548">
        <v>504</v>
      </c>
      <c r="H548">
        <v>0.05</v>
      </c>
      <c r="I548">
        <v>4</v>
      </c>
      <c r="J548">
        <v>0</v>
      </c>
      <c r="K548">
        <v>12.99</v>
      </c>
      <c r="L548" t="s">
        <v>1035</v>
      </c>
      <c r="M548" s="1">
        <v>45296</v>
      </c>
      <c r="N548">
        <f>YEAR(Raw_Data[[#This Row],[join_date_UK]])</f>
        <v>2024</v>
      </c>
    </row>
    <row r="549" spans="1:14" x14ac:dyDescent="0.3">
      <c r="A549" t="s">
        <v>1036</v>
      </c>
      <c r="B549" t="s">
        <v>29</v>
      </c>
      <c r="C549">
        <v>42</v>
      </c>
      <c r="D549" t="s">
        <v>23</v>
      </c>
      <c r="E549" t="s">
        <v>66</v>
      </c>
      <c r="F549">
        <v>3.6</v>
      </c>
      <c r="G549">
        <v>525</v>
      </c>
      <c r="H549">
        <v>0.15</v>
      </c>
      <c r="I549">
        <v>4</v>
      </c>
      <c r="J549">
        <v>0</v>
      </c>
      <c r="K549">
        <v>9.99</v>
      </c>
      <c r="L549" t="s">
        <v>1037</v>
      </c>
      <c r="M549" s="1">
        <v>44819</v>
      </c>
      <c r="N549">
        <f>YEAR(Raw_Data[[#This Row],[join_date_UK]])</f>
        <v>2022</v>
      </c>
    </row>
    <row r="550" spans="1:14" x14ac:dyDescent="0.3">
      <c r="A550" t="s">
        <v>1038</v>
      </c>
      <c r="B550" t="s">
        <v>19</v>
      </c>
      <c r="C550">
        <v>14</v>
      </c>
      <c r="D550" t="s">
        <v>15</v>
      </c>
      <c r="E550" t="s">
        <v>66</v>
      </c>
      <c r="F550">
        <v>10.199999999999999</v>
      </c>
      <c r="G550">
        <v>518</v>
      </c>
      <c r="H550">
        <v>0.1</v>
      </c>
      <c r="I550">
        <v>4</v>
      </c>
      <c r="J550">
        <v>0</v>
      </c>
      <c r="K550">
        <v>9.99</v>
      </c>
      <c r="L550" t="s">
        <v>624</v>
      </c>
      <c r="M550" s="1">
        <v>45354</v>
      </c>
      <c r="N550">
        <f>YEAR(Raw_Data[[#This Row],[join_date_UK]])</f>
        <v>2024</v>
      </c>
    </row>
    <row r="551" spans="1:14" x14ac:dyDescent="0.3">
      <c r="A551" t="s">
        <v>1039</v>
      </c>
      <c r="B551" t="s">
        <v>22</v>
      </c>
      <c r="C551">
        <v>44</v>
      </c>
      <c r="D551" t="s">
        <v>34</v>
      </c>
      <c r="E551" t="s">
        <v>66</v>
      </c>
      <c r="F551">
        <v>15.1</v>
      </c>
      <c r="G551">
        <v>456</v>
      </c>
      <c r="H551">
        <v>0.1</v>
      </c>
      <c r="I551">
        <v>4</v>
      </c>
      <c r="J551">
        <v>1</v>
      </c>
      <c r="K551">
        <v>7.99</v>
      </c>
      <c r="L551" t="s">
        <v>31</v>
      </c>
      <c r="M551" s="1">
        <v>45183</v>
      </c>
      <c r="N551">
        <f>YEAR(Raw_Data[[#This Row],[join_date_UK]])</f>
        <v>2023</v>
      </c>
    </row>
    <row r="552" spans="1:14" x14ac:dyDescent="0.3">
      <c r="A552" t="s">
        <v>1040</v>
      </c>
      <c r="B552" t="s">
        <v>22</v>
      </c>
      <c r="C552">
        <v>62</v>
      </c>
      <c r="D552" t="s">
        <v>23</v>
      </c>
      <c r="E552" t="s">
        <v>66</v>
      </c>
      <c r="F552">
        <v>12.5</v>
      </c>
      <c r="G552">
        <v>478</v>
      </c>
      <c r="H552">
        <v>0.2</v>
      </c>
      <c r="I552">
        <v>4</v>
      </c>
      <c r="J552">
        <v>0</v>
      </c>
      <c r="K552">
        <v>9.99</v>
      </c>
      <c r="L552" t="s">
        <v>1041</v>
      </c>
      <c r="M552" s="1">
        <v>45318</v>
      </c>
      <c r="N552">
        <f>YEAR(Raw_Data[[#This Row],[join_date_UK]])</f>
        <v>2024</v>
      </c>
    </row>
    <row r="553" spans="1:14" x14ac:dyDescent="0.3">
      <c r="A553" t="s">
        <v>1042</v>
      </c>
      <c r="B553" t="s">
        <v>39</v>
      </c>
      <c r="C553">
        <v>59</v>
      </c>
      <c r="D553" t="s">
        <v>34</v>
      </c>
      <c r="E553" t="s">
        <v>66</v>
      </c>
      <c r="F553">
        <v>5.8</v>
      </c>
      <c r="G553">
        <v>500</v>
      </c>
      <c r="H553">
        <v>0.1</v>
      </c>
      <c r="I553">
        <v>4</v>
      </c>
      <c r="J553">
        <v>0</v>
      </c>
      <c r="K553">
        <v>5</v>
      </c>
      <c r="L553" t="s">
        <v>1043</v>
      </c>
      <c r="M553" s="1">
        <v>44793</v>
      </c>
      <c r="N553">
        <f>YEAR(Raw_Data[[#This Row],[join_date_UK]])</f>
        <v>2022</v>
      </c>
    </row>
    <row r="554" spans="1:14" x14ac:dyDescent="0.3">
      <c r="A554" t="s">
        <v>1044</v>
      </c>
      <c r="B554" t="s">
        <v>44</v>
      </c>
      <c r="C554">
        <v>41</v>
      </c>
      <c r="D554" t="s">
        <v>30</v>
      </c>
      <c r="E554" t="s">
        <v>66</v>
      </c>
      <c r="F554">
        <v>8.1999999999999993</v>
      </c>
      <c r="G554">
        <v>497</v>
      </c>
      <c r="H554">
        <v>0.1</v>
      </c>
      <c r="I554">
        <v>4</v>
      </c>
      <c r="J554">
        <v>0</v>
      </c>
      <c r="K554">
        <v>7.99</v>
      </c>
      <c r="L554" t="s">
        <v>88</v>
      </c>
      <c r="M554" s="1">
        <v>45052</v>
      </c>
      <c r="N554">
        <f>YEAR(Raw_Data[[#This Row],[join_date_UK]])</f>
        <v>2023</v>
      </c>
    </row>
    <row r="555" spans="1:14" x14ac:dyDescent="0.3">
      <c r="A555" t="s">
        <v>1045</v>
      </c>
      <c r="B555" t="s">
        <v>39</v>
      </c>
      <c r="C555">
        <v>23</v>
      </c>
      <c r="D555" t="s">
        <v>23</v>
      </c>
      <c r="E555" t="s">
        <v>66</v>
      </c>
      <c r="F555">
        <v>6.5</v>
      </c>
      <c r="G555">
        <v>504</v>
      </c>
      <c r="H555">
        <v>0.1</v>
      </c>
      <c r="I555">
        <v>4</v>
      </c>
      <c r="J555">
        <v>1</v>
      </c>
      <c r="K555">
        <v>7.99</v>
      </c>
      <c r="L555" t="s">
        <v>1046</v>
      </c>
      <c r="M555" s="1">
        <v>45056</v>
      </c>
      <c r="N555">
        <f>YEAR(Raw_Data[[#This Row],[join_date_UK]])</f>
        <v>2023</v>
      </c>
    </row>
    <row r="556" spans="1:14" x14ac:dyDescent="0.3">
      <c r="A556" t="s">
        <v>1047</v>
      </c>
      <c r="B556" t="s">
        <v>73</v>
      </c>
      <c r="C556">
        <v>44</v>
      </c>
      <c r="D556" t="s">
        <v>34</v>
      </c>
      <c r="E556" t="s">
        <v>66</v>
      </c>
      <c r="F556">
        <v>13.6</v>
      </c>
      <c r="G556">
        <v>521</v>
      </c>
      <c r="H556">
        <v>0.25</v>
      </c>
      <c r="I556">
        <v>4</v>
      </c>
      <c r="J556">
        <v>0</v>
      </c>
      <c r="K556">
        <v>5</v>
      </c>
      <c r="L556" t="s">
        <v>1048</v>
      </c>
      <c r="M556" s="1">
        <v>45058</v>
      </c>
      <c r="N556">
        <f>YEAR(Raw_Data[[#This Row],[join_date_UK]])</f>
        <v>2023</v>
      </c>
    </row>
    <row r="557" spans="1:14" x14ac:dyDescent="0.3">
      <c r="A557" t="s">
        <v>1049</v>
      </c>
      <c r="B557" t="s">
        <v>29</v>
      </c>
      <c r="C557">
        <v>43</v>
      </c>
      <c r="D557" t="s">
        <v>34</v>
      </c>
      <c r="E557" t="s">
        <v>66</v>
      </c>
      <c r="F557">
        <v>6</v>
      </c>
      <c r="G557">
        <v>519</v>
      </c>
      <c r="H557">
        <v>0.25</v>
      </c>
      <c r="I557">
        <v>4</v>
      </c>
      <c r="J557">
        <v>0</v>
      </c>
      <c r="K557">
        <v>7.99</v>
      </c>
      <c r="L557" t="s">
        <v>1050</v>
      </c>
      <c r="M557" s="1">
        <v>45088</v>
      </c>
      <c r="N557">
        <f>YEAR(Raw_Data[[#This Row],[join_date_UK]])</f>
        <v>2023</v>
      </c>
    </row>
    <row r="558" spans="1:14" x14ac:dyDescent="0.3">
      <c r="A558" t="s">
        <v>1051</v>
      </c>
      <c r="B558" t="s">
        <v>44</v>
      </c>
      <c r="C558">
        <v>53</v>
      </c>
      <c r="D558" t="s">
        <v>15</v>
      </c>
      <c r="E558" t="s">
        <v>66</v>
      </c>
      <c r="F558">
        <v>4.0999999999999996</v>
      </c>
      <c r="G558">
        <v>503</v>
      </c>
      <c r="H558">
        <v>0.1</v>
      </c>
      <c r="I558">
        <v>4</v>
      </c>
      <c r="J558">
        <v>0</v>
      </c>
      <c r="K558">
        <v>9.99</v>
      </c>
      <c r="L558" t="s">
        <v>1052</v>
      </c>
      <c r="M558" s="1">
        <v>44694</v>
      </c>
      <c r="N558">
        <f>YEAR(Raw_Data[[#This Row],[join_date_UK]])</f>
        <v>2022</v>
      </c>
    </row>
    <row r="559" spans="1:14" x14ac:dyDescent="0.3">
      <c r="A559" t="s">
        <v>1053</v>
      </c>
      <c r="B559" t="s">
        <v>29</v>
      </c>
      <c r="C559">
        <v>16</v>
      </c>
      <c r="D559" t="s">
        <v>23</v>
      </c>
      <c r="E559" t="s">
        <v>66</v>
      </c>
      <c r="F559">
        <v>10.199999999999999</v>
      </c>
      <c r="G559">
        <v>523</v>
      </c>
      <c r="H559">
        <v>0.3</v>
      </c>
      <c r="I559">
        <v>4</v>
      </c>
      <c r="J559">
        <v>0</v>
      </c>
      <c r="K559">
        <v>7.99</v>
      </c>
      <c r="L559" t="s">
        <v>1054</v>
      </c>
      <c r="M559" s="1">
        <v>44830</v>
      </c>
      <c r="N559">
        <f>YEAR(Raw_Data[[#This Row],[join_date_UK]])</f>
        <v>2022</v>
      </c>
    </row>
    <row r="560" spans="1:14" x14ac:dyDescent="0.3">
      <c r="A560" t="s">
        <v>1055</v>
      </c>
      <c r="B560" t="s">
        <v>14</v>
      </c>
      <c r="C560">
        <v>51</v>
      </c>
      <c r="D560" t="s">
        <v>23</v>
      </c>
      <c r="E560" t="s">
        <v>66</v>
      </c>
      <c r="F560">
        <v>9.6999999999999993</v>
      </c>
      <c r="G560">
        <v>467</v>
      </c>
      <c r="H560">
        <v>0.05</v>
      </c>
      <c r="I560">
        <v>4</v>
      </c>
      <c r="J560">
        <v>1</v>
      </c>
      <c r="L560" t="s">
        <v>1056</v>
      </c>
      <c r="M560" s="1">
        <v>44983</v>
      </c>
      <c r="N560">
        <f>YEAR(Raw_Data[[#This Row],[join_date_UK]])</f>
        <v>2023</v>
      </c>
    </row>
    <row r="561" spans="1:14" x14ac:dyDescent="0.3">
      <c r="A561" t="s">
        <v>1057</v>
      </c>
      <c r="B561" t="s">
        <v>29</v>
      </c>
      <c r="C561">
        <v>24</v>
      </c>
      <c r="D561" t="s">
        <v>15</v>
      </c>
      <c r="E561" t="s">
        <v>66</v>
      </c>
      <c r="F561">
        <v>8.5</v>
      </c>
      <c r="G561">
        <v>514</v>
      </c>
      <c r="H561">
        <v>0.15</v>
      </c>
      <c r="I561">
        <v>4</v>
      </c>
      <c r="J561">
        <v>1</v>
      </c>
      <c r="L561" t="s">
        <v>445</v>
      </c>
      <c r="M561" s="1">
        <v>45122</v>
      </c>
      <c r="N561">
        <f>YEAR(Raw_Data[[#This Row],[join_date_UK]])</f>
        <v>2023</v>
      </c>
    </row>
    <row r="562" spans="1:14" x14ac:dyDescent="0.3">
      <c r="A562" t="s">
        <v>1058</v>
      </c>
      <c r="B562" t="s">
        <v>26</v>
      </c>
      <c r="C562">
        <v>53</v>
      </c>
      <c r="D562" t="s">
        <v>34</v>
      </c>
      <c r="E562" t="s">
        <v>66</v>
      </c>
      <c r="F562">
        <v>4.4000000000000004</v>
      </c>
      <c r="G562">
        <v>497</v>
      </c>
      <c r="H562">
        <v>0.2</v>
      </c>
      <c r="I562">
        <v>4</v>
      </c>
      <c r="J562">
        <v>0</v>
      </c>
      <c r="K562">
        <v>7.99</v>
      </c>
      <c r="L562" t="s">
        <v>373</v>
      </c>
      <c r="M562" s="1">
        <v>45634</v>
      </c>
      <c r="N562">
        <f>YEAR(Raw_Data[[#This Row],[join_date_UK]])</f>
        <v>2024</v>
      </c>
    </row>
    <row r="563" spans="1:14" x14ac:dyDescent="0.3">
      <c r="A563" t="s">
        <v>1059</v>
      </c>
      <c r="B563" t="s">
        <v>26</v>
      </c>
      <c r="C563">
        <v>41</v>
      </c>
      <c r="D563" t="s">
        <v>23</v>
      </c>
      <c r="E563" t="s">
        <v>66</v>
      </c>
      <c r="F563">
        <v>14.4</v>
      </c>
      <c r="G563">
        <v>512</v>
      </c>
      <c r="H563">
        <v>0.2</v>
      </c>
      <c r="I563">
        <v>4</v>
      </c>
      <c r="J563">
        <v>0</v>
      </c>
      <c r="K563">
        <v>9.99</v>
      </c>
      <c r="L563" t="s">
        <v>569</v>
      </c>
      <c r="M563" s="1">
        <v>44688</v>
      </c>
      <c r="N563">
        <f>YEAR(Raw_Data[[#This Row],[join_date_UK]])</f>
        <v>2022</v>
      </c>
    </row>
    <row r="564" spans="1:14" x14ac:dyDescent="0.3">
      <c r="A564" t="s">
        <v>1060</v>
      </c>
      <c r="B564" t="s">
        <v>33</v>
      </c>
      <c r="C564">
        <v>38</v>
      </c>
      <c r="D564" t="s">
        <v>23</v>
      </c>
      <c r="E564" t="s">
        <v>66</v>
      </c>
      <c r="F564">
        <v>7.8</v>
      </c>
      <c r="G564">
        <v>488</v>
      </c>
      <c r="H564">
        <v>0.2</v>
      </c>
      <c r="I564">
        <v>4</v>
      </c>
      <c r="J564">
        <v>1</v>
      </c>
      <c r="K564">
        <v>12.99</v>
      </c>
      <c r="L564" t="s">
        <v>1061</v>
      </c>
      <c r="M564" s="1">
        <v>45446</v>
      </c>
      <c r="N564">
        <f>YEAR(Raw_Data[[#This Row],[join_date_UK]])</f>
        <v>2024</v>
      </c>
    </row>
    <row r="565" spans="1:14" x14ac:dyDescent="0.3">
      <c r="A565" t="s">
        <v>1062</v>
      </c>
      <c r="B565" t="s">
        <v>19</v>
      </c>
      <c r="C565">
        <v>35</v>
      </c>
      <c r="D565" t="s">
        <v>15</v>
      </c>
      <c r="E565" t="s">
        <v>66</v>
      </c>
      <c r="F565">
        <v>7.3</v>
      </c>
      <c r="G565">
        <v>526</v>
      </c>
      <c r="H565">
        <v>0.3</v>
      </c>
      <c r="I565">
        <v>4</v>
      </c>
      <c r="J565">
        <v>1</v>
      </c>
      <c r="K565">
        <v>7.99</v>
      </c>
      <c r="L565" t="s">
        <v>890</v>
      </c>
      <c r="M565" s="1">
        <v>44995</v>
      </c>
      <c r="N565">
        <f>YEAR(Raw_Data[[#This Row],[join_date_UK]])</f>
        <v>2023</v>
      </c>
    </row>
    <row r="566" spans="1:14" x14ac:dyDescent="0.3">
      <c r="A566" t="s">
        <v>15</v>
      </c>
      <c r="B566" t="s">
        <v>39</v>
      </c>
      <c r="C566">
        <v>50</v>
      </c>
      <c r="D566" t="s">
        <v>23</v>
      </c>
      <c r="E566" t="s">
        <v>94</v>
      </c>
      <c r="F566">
        <v>0.9</v>
      </c>
      <c r="G566">
        <v>533</v>
      </c>
      <c r="H566">
        <v>0.1</v>
      </c>
      <c r="I566">
        <v>4</v>
      </c>
      <c r="J566">
        <v>0</v>
      </c>
      <c r="L566" t="s">
        <v>569</v>
      </c>
      <c r="M566" s="1">
        <v>44688</v>
      </c>
      <c r="N566">
        <f>YEAR(Raw_Data[[#This Row],[join_date_UK]])</f>
        <v>2022</v>
      </c>
    </row>
    <row r="567" spans="1:14" x14ac:dyDescent="0.3">
      <c r="A567" t="s">
        <v>15</v>
      </c>
      <c r="B567" t="s">
        <v>14</v>
      </c>
      <c r="C567">
        <v>22</v>
      </c>
      <c r="D567" t="s">
        <v>23</v>
      </c>
      <c r="E567" t="s">
        <v>94</v>
      </c>
      <c r="F567">
        <v>4.4000000000000004</v>
      </c>
      <c r="G567">
        <v>455</v>
      </c>
      <c r="H567">
        <v>0.3</v>
      </c>
      <c r="I567">
        <v>4</v>
      </c>
      <c r="J567">
        <v>0</v>
      </c>
      <c r="K567">
        <v>7.99</v>
      </c>
      <c r="L567" t="s">
        <v>1063</v>
      </c>
      <c r="M567" s="1">
        <v>45312</v>
      </c>
      <c r="N567">
        <f>YEAR(Raw_Data[[#This Row],[join_date_UK]])</f>
        <v>2024</v>
      </c>
    </row>
    <row r="568" spans="1:14" x14ac:dyDescent="0.3">
      <c r="A568" t="s">
        <v>1064</v>
      </c>
      <c r="B568" t="s">
        <v>39</v>
      </c>
      <c r="C568">
        <v>30</v>
      </c>
      <c r="D568" t="s">
        <v>34</v>
      </c>
      <c r="E568" t="s">
        <v>94</v>
      </c>
      <c r="F568">
        <v>19.2</v>
      </c>
      <c r="G568">
        <v>458</v>
      </c>
      <c r="H568">
        <v>0.3</v>
      </c>
      <c r="I568">
        <v>4</v>
      </c>
      <c r="J568">
        <v>0</v>
      </c>
      <c r="K568">
        <v>7.99</v>
      </c>
      <c r="L568" t="s">
        <v>1065</v>
      </c>
      <c r="M568" s="1">
        <v>45128</v>
      </c>
      <c r="N568">
        <f>YEAR(Raw_Data[[#This Row],[join_date_UK]])</f>
        <v>2023</v>
      </c>
    </row>
    <row r="569" spans="1:14" x14ac:dyDescent="0.3">
      <c r="A569" t="s">
        <v>1066</v>
      </c>
      <c r="B569" t="s">
        <v>29</v>
      </c>
      <c r="C569">
        <v>21</v>
      </c>
      <c r="D569" t="s">
        <v>34</v>
      </c>
      <c r="E569" t="s">
        <v>94</v>
      </c>
      <c r="F569">
        <v>19</v>
      </c>
      <c r="G569">
        <v>474</v>
      </c>
      <c r="H569">
        <v>0.1</v>
      </c>
      <c r="I569">
        <v>4</v>
      </c>
      <c r="J569">
        <v>0</v>
      </c>
      <c r="K569">
        <v>7.99</v>
      </c>
      <c r="L569" t="s">
        <v>1067</v>
      </c>
      <c r="M569" s="1">
        <v>44608</v>
      </c>
      <c r="N569">
        <f>YEAR(Raw_Data[[#This Row],[join_date_UK]])</f>
        <v>2022</v>
      </c>
    </row>
    <row r="570" spans="1:14" x14ac:dyDescent="0.3">
      <c r="A570" t="s">
        <v>1068</v>
      </c>
      <c r="B570" t="s">
        <v>19</v>
      </c>
      <c r="C570">
        <v>45</v>
      </c>
      <c r="D570" t="s">
        <v>23</v>
      </c>
      <c r="E570" t="s">
        <v>94</v>
      </c>
      <c r="F570">
        <v>13.3</v>
      </c>
      <c r="G570">
        <v>530</v>
      </c>
      <c r="H570">
        <v>0.2</v>
      </c>
      <c r="I570">
        <v>4</v>
      </c>
      <c r="J570">
        <v>0</v>
      </c>
      <c r="K570">
        <v>7.99</v>
      </c>
      <c r="L570" t="s">
        <v>1069</v>
      </c>
      <c r="M570" s="1">
        <v>45265</v>
      </c>
      <c r="N570">
        <f>YEAR(Raw_Data[[#This Row],[join_date_UK]])</f>
        <v>2023</v>
      </c>
    </row>
    <row r="571" spans="1:14" x14ac:dyDescent="0.3">
      <c r="A571" t="s">
        <v>1070</v>
      </c>
      <c r="B571" t="s">
        <v>14</v>
      </c>
      <c r="C571">
        <v>14</v>
      </c>
      <c r="D571" t="s">
        <v>23</v>
      </c>
      <c r="E571" t="s">
        <v>94</v>
      </c>
      <c r="F571">
        <v>6.4</v>
      </c>
      <c r="G571">
        <v>488</v>
      </c>
      <c r="H571">
        <v>0.1</v>
      </c>
      <c r="I571">
        <v>4</v>
      </c>
      <c r="J571">
        <v>0</v>
      </c>
      <c r="K571">
        <v>9.99</v>
      </c>
      <c r="L571" t="s">
        <v>1071</v>
      </c>
      <c r="M571" s="1">
        <v>44562</v>
      </c>
      <c r="N571">
        <f>YEAR(Raw_Data[[#This Row],[join_date_UK]])</f>
        <v>2022</v>
      </c>
    </row>
    <row r="572" spans="1:14" x14ac:dyDescent="0.3">
      <c r="A572" t="s">
        <v>1072</v>
      </c>
      <c r="B572" t="s">
        <v>29</v>
      </c>
      <c r="C572">
        <v>21</v>
      </c>
      <c r="D572" t="s">
        <v>34</v>
      </c>
      <c r="E572" t="s">
        <v>94</v>
      </c>
      <c r="F572">
        <v>10.6</v>
      </c>
      <c r="G572">
        <v>461</v>
      </c>
      <c r="H572">
        <v>0.3</v>
      </c>
      <c r="I572">
        <v>4</v>
      </c>
      <c r="J572">
        <v>1</v>
      </c>
      <c r="K572">
        <v>7.99</v>
      </c>
      <c r="L572" t="s">
        <v>1073</v>
      </c>
      <c r="M572" s="1">
        <v>45066</v>
      </c>
      <c r="N572">
        <f>YEAR(Raw_Data[[#This Row],[join_date_UK]])</f>
        <v>2023</v>
      </c>
    </row>
    <row r="573" spans="1:14" x14ac:dyDescent="0.3">
      <c r="A573" t="s">
        <v>1074</v>
      </c>
      <c r="B573" t="s">
        <v>39</v>
      </c>
      <c r="C573">
        <v>34</v>
      </c>
      <c r="D573" t="s">
        <v>30</v>
      </c>
      <c r="E573" t="s">
        <v>94</v>
      </c>
      <c r="F573">
        <v>14.5</v>
      </c>
      <c r="G573">
        <v>508</v>
      </c>
      <c r="H573">
        <v>0.3</v>
      </c>
      <c r="I573">
        <v>4</v>
      </c>
      <c r="J573">
        <v>0</v>
      </c>
      <c r="K573">
        <v>7.99</v>
      </c>
      <c r="L573" t="s">
        <v>536</v>
      </c>
      <c r="M573" s="1">
        <v>44873</v>
      </c>
      <c r="N573">
        <f>YEAR(Raw_Data[[#This Row],[join_date_UK]])</f>
        <v>2022</v>
      </c>
    </row>
    <row r="574" spans="1:14" x14ac:dyDescent="0.3">
      <c r="A574" t="s">
        <v>1075</v>
      </c>
      <c r="B574" t="s">
        <v>19</v>
      </c>
      <c r="C574">
        <v>59</v>
      </c>
      <c r="D574" t="s">
        <v>34</v>
      </c>
      <c r="E574" t="s">
        <v>94</v>
      </c>
      <c r="F574">
        <v>11.9</v>
      </c>
      <c r="G574">
        <v>513</v>
      </c>
      <c r="H574">
        <v>0.3</v>
      </c>
      <c r="I574">
        <v>4</v>
      </c>
      <c r="J574">
        <v>0</v>
      </c>
      <c r="K574">
        <v>7.99</v>
      </c>
      <c r="L574" t="s">
        <v>1076</v>
      </c>
      <c r="M574" s="1">
        <v>44757</v>
      </c>
      <c r="N574">
        <f>YEAR(Raw_Data[[#This Row],[join_date_UK]])</f>
        <v>2022</v>
      </c>
    </row>
    <row r="575" spans="1:14" x14ac:dyDescent="0.3">
      <c r="A575" t="s">
        <v>1077</v>
      </c>
      <c r="B575" t="s">
        <v>73</v>
      </c>
      <c r="C575">
        <v>36</v>
      </c>
      <c r="D575" t="s">
        <v>23</v>
      </c>
      <c r="E575" t="s">
        <v>94</v>
      </c>
      <c r="F575">
        <v>8.9</v>
      </c>
      <c r="G575">
        <v>471</v>
      </c>
      <c r="H575">
        <v>0.1</v>
      </c>
      <c r="I575">
        <v>4</v>
      </c>
      <c r="J575">
        <v>0</v>
      </c>
      <c r="L575" t="s">
        <v>1078</v>
      </c>
      <c r="M575" s="1">
        <v>45032</v>
      </c>
      <c r="N575">
        <f>YEAR(Raw_Data[[#This Row],[join_date_UK]])</f>
        <v>2023</v>
      </c>
    </row>
    <row r="576" spans="1:14" x14ac:dyDescent="0.3">
      <c r="A576" t="s">
        <v>1079</v>
      </c>
      <c r="B576" t="s">
        <v>44</v>
      </c>
      <c r="C576">
        <v>41</v>
      </c>
      <c r="D576" t="s">
        <v>34</v>
      </c>
      <c r="E576" t="s">
        <v>94</v>
      </c>
      <c r="F576">
        <v>7.4</v>
      </c>
      <c r="G576">
        <v>511</v>
      </c>
      <c r="H576">
        <v>0.1</v>
      </c>
      <c r="I576">
        <v>4</v>
      </c>
      <c r="J576">
        <v>1</v>
      </c>
      <c r="K576">
        <v>7.99</v>
      </c>
      <c r="L576" t="s">
        <v>354</v>
      </c>
      <c r="M576" s="1">
        <v>44564</v>
      </c>
      <c r="N576">
        <f>YEAR(Raw_Data[[#This Row],[join_date_UK]])</f>
        <v>2022</v>
      </c>
    </row>
    <row r="577" spans="1:14" x14ac:dyDescent="0.3">
      <c r="A577" t="s">
        <v>1080</v>
      </c>
      <c r="B577" t="s">
        <v>19</v>
      </c>
      <c r="C577">
        <v>13</v>
      </c>
      <c r="D577" t="s">
        <v>34</v>
      </c>
      <c r="E577" t="s">
        <v>94</v>
      </c>
      <c r="F577">
        <v>9.8000000000000007</v>
      </c>
      <c r="G577">
        <v>481</v>
      </c>
      <c r="H577">
        <v>0.15</v>
      </c>
      <c r="I577">
        <v>4</v>
      </c>
      <c r="J577">
        <v>0</v>
      </c>
      <c r="K577">
        <v>7.99</v>
      </c>
      <c r="L577" t="s">
        <v>1081</v>
      </c>
      <c r="M577" s="1">
        <v>44611</v>
      </c>
      <c r="N577">
        <f>YEAR(Raw_Data[[#This Row],[join_date_UK]])</f>
        <v>2022</v>
      </c>
    </row>
    <row r="578" spans="1:14" x14ac:dyDescent="0.3">
      <c r="A578" t="s">
        <v>1082</v>
      </c>
      <c r="B578" t="s">
        <v>73</v>
      </c>
      <c r="C578">
        <v>57</v>
      </c>
      <c r="D578" t="s">
        <v>23</v>
      </c>
      <c r="E578" t="s">
        <v>94</v>
      </c>
      <c r="F578">
        <v>11.6</v>
      </c>
      <c r="G578">
        <v>510</v>
      </c>
      <c r="H578">
        <v>0.05</v>
      </c>
      <c r="I578">
        <v>4</v>
      </c>
      <c r="J578">
        <v>1</v>
      </c>
      <c r="K578">
        <v>5</v>
      </c>
      <c r="L578" t="s">
        <v>299</v>
      </c>
      <c r="M578" s="1">
        <v>44837</v>
      </c>
      <c r="N578">
        <f>YEAR(Raw_Data[[#This Row],[join_date_UK]])</f>
        <v>2022</v>
      </c>
    </row>
    <row r="579" spans="1:14" x14ac:dyDescent="0.3">
      <c r="A579" t="s">
        <v>1083</v>
      </c>
      <c r="B579" t="s">
        <v>39</v>
      </c>
      <c r="C579">
        <v>63</v>
      </c>
      <c r="D579" t="s">
        <v>23</v>
      </c>
      <c r="E579" t="s">
        <v>94</v>
      </c>
      <c r="F579">
        <v>6.8</v>
      </c>
      <c r="G579">
        <v>479</v>
      </c>
      <c r="H579">
        <v>0.15</v>
      </c>
      <c r="I579">
        <v>4</v>
      </c>
      <c r="J579">
        <v>0</v>
      </c>
      <c r="K579">
        <v>7.99</v>
      </c>
      <c r="L579" t="s">
        <v>244</v>
      </c>
      <c r="M579" s="1">
        <v>45039</v>
      </c>
      <c r="N579">
        <f>YEAR(Raw_Data[[#This Row],[join_date_UK]])</f>
        <v>2023</v>
      </c>
    </row>
    <row r="580" spans="1:14" x14ac:dyDescent="0.3">
      <c r="A580" t="s">
        <v>1084</v>
      </c>
      <c r="B580" t="s">
        <v>29</v>
      </c>
      <c r="C580">
        <v>21</v>
      </c>
      <c r="D580" t="s">
        <v>30</v>
      </c>
      <c r="E580" t="s">
        <v>94</v>
      </c>
      <c r="F580">
        <v>11.5</v>
      </c>
      <c r="G580">
        <v>514</v>
      </c>
      <c r="H580">
        <v>0.25</v>
      </c>
      <c r="I580">
        <v>4</v>
      </c>
      <c r="J580">
        <v>1</v>
      </c>
      <c r="K580">
        <v>9.99</v>
      </c>
      <c r="L580" t="s">
        <v>1085</v>
      </c>
      <c r="M580" s="1">
        <v>45335</v>
      </c>
      <c r="N580">
        <f>YEAR(Raw_Data[[#This Row],[join_date_UK]])</f>
        <v>2024</v>
      </c>
    </row>
    <row r="581" spans="1:14" x14ac:dyDescent="0.3">
      <c r="A581" t="s">
        <v>1086</v>
      </c>
      <c r="B581" t="s">
        <v>19</v>
      </c>
      <c r="C581">
        <v>55</v>
      </c>
      <c r="D581" t="s">
        <v>23</v>
      </c>
      <c r="E581" t="s">
        <v>94</v>
      </c>
      <c r="F581">
        <v>3.9</v>
      </c>
      <c r="G581">
        <v>499</v>
      </c>
      <c r="H581">
        <v>0.05</v>
      </c>
      <c r="I581">
        <v>4</v>
      </c>
      <c r="J581">
        <v>0</v>
      </c>
      <c r="L581" t="s">
        <v>1087</v>
      </c>
      <c r="M581" s="1">
        <v>44664</v>
      </c>
      <c r="N581">
        <f>YEAR(Raw_Data[[#This Row],[join_date_UK]])</f>
        <v>2022</v>
      </c>
    </row>
    <row r="582" spans="1:14" x14ac:dyDescent="0.3">
      <c r="A582" t="s">
        <v>1088</v>
      </c>
      <c r="B582" t="s">
        <v>14</v>
      </c>
      <c r="C582">
        <v>22</v>
      </c>
      <c r="D582" t="s">
        <v>34</v>
      </c>
      <c r="E582" t="s">
        <v>94</v>
      </c>
      <c r="F582">
        <v>10.3</v>
      </c>
      <c r="G582">
        <v>494</v>
      </c>
      <c r="H582">
        <v>0.2</v>
      </c>
      <c r="I582">
        <v>4</v>
      </c>
      <c r="J582">
        <v>1</v>
      </c>
      <c r="L582" t="s">
        <v>1089</v>
      </c>
      <c r="M582" s="1">
        <v>45222</v>
      </c>
      <c r="N582">
        <f>YEAR(Raw_Data[[#This Row],[join_date_UK]])</f>
        <v>2023</v>
      </c>
    </row>
    <row r="583" spans="1:14" x14ac:dyDescent="0.3">
      <c r="A583" t="s">
        <v>1090</v>
      </c>
      <c r="B583" t="s">
        <v>33</v>
      </c>
      <c r="C583">
        <v>20</v>
      </c>
      <c r="D583" t="s">
        <v>23</v>
      </c>
      <c r="E583" t="s">
        <v>94</v>
      </c>
      <c r="F583">
        <v>6.9</v>
      </c>
      <c r="G583">
        <v>482</v>
      </c>
      <c r="H583">
        <v>0.2</v>
      </c>
      <c r="I583">
        <v>4</v>
      </c>
      <c r="J583">
        <v>1</v>
      </c>
      <c r="K583">
        <v>7.99</v>
      </c>
      <c r="L583" t="s">
        <v>1091</v>
      </c>
      <c r="M583" s="1">
        <v>44794</v>
      </c>
      <c r="N583">
        <f>YEAR(Raw_Data[[#This Row],[join_date_UK]])</f>
        <v>2022</v>
      </c>
    </row>
    <row r="584" spans="1:14" x14ac:dyDescent="0.3">
      <c r="A584" t="s">
        <v>1092</v>
      </c>
      <c r="B584" t="s">
        <v>14</v>
      </c>
      <c r="C584">
        <v>38</v>
      </c>
      <c r="D584" t="s">
        <v>30</v>
      </c>
      <c r="E584" t="s">
        <v>94</v>
      </c>
      <c r="F584">
        <v>8.1999999999999993</v>
      </c>
      <c r="G584">
        <v>517</v>
      </c>
      <c r="H584">
        <v>0.2</v>
      </c>
      <c r="I584">
        <v>4</v>
      </c>
      <c r="J584">
        <v>0</v>
      </c>
      <c r="K584">
        <v>9.99</v>
      </c>
      <c r="L584" t="s">
        <v>1093</v>
      </c>
      <c r="M584" s="1">
        <v>44603</v>
      </c>
      <c r="N584">
        <f>YEAR(Raw_Data[[#This Row],[join_date_UK]])</f>
        <v>2022</v>
      </c>
    </row>
    <row r="585" spans="1:14" x14ac:dyDescent="0.3">
      <c r="A585" t="s">
        <v>1094</v>
      </c>
      <c r="B585" t="s">
        <v>33</v>
      </c>
      <c r="C585">
        <v>63</v>
      </c>
      <c r="D585" t="s">
        <v>34</v>
      </c>
      <c r="E585" t="s">
        <v>94</v>
      </c>
      <c r="F585">
        <v>8.5</v>
      </c>
      <c r="G585">
        <v>462</v>
      </c>
      <c r="H585">
        <v>0.2</v>
      </c>
      <c r="I585">
        <v>4</v>
      </c>
      <c r="J585">
        <v>1</v>
      </c>
      <c r="L585" t="s">
        <v>1095</v>
      </c>
      <c r="M585" s="1">
        <v>45273</v>
      </c>
      <c r="N585">
        <f>YEAR(Raw_Data[[#This Row],[join_date_UK]])</f>
        <v>2023</v>
      </c>
    </row>
    <row r="586" spans="1:14" x14ac:dyDescent="0.3">
      <c r="A586" t="s">
        <v>1096</v>
      </c>
      <c r="B586" t="s">
        <v>39</v>
      </c>
      <c r="C586">
        <v>58</v>
      </c>
      <c r="D586" t="s">
        <v>34</v>
      </c>
      <c r="E586" t="s">
        <v>94</v>
      </c>
      <c r="F586">
        <v>11.4</v>
      </c>
      <c r="G586">
        <v>496</v>
      </c>
      <c r="H586">
        <v>0.2</v>
      </c>
      <c r="I586">
        <v>4</v>
      </c>
      <c r="J586">
        <v>1</v>
      </c>
      <c r="K586">
        <v>9.99</v>
      </c>
      <c r="L586" t="s">
        <v>1097</v>
      </c>
      <c r="M586" s="1">
        <v>45202</v>
      </c>
      <c r="N586">
        <f>YEAR(Raw_Data[[#This Row],[join_date_UK]])</f>
        <v>2023</v>
      </c>
    </row>
    <row r="587" spans="1:14" x14ac:dyDescent="0.3">
      <c r="A587" t="s">
        <v>1098</v>
      </c>
      <c r="B587" t="s">
        <v>39</v>
      </c>
      <c r="C587">
        <v>38</v>
      </c>
      <c r="D587" t="s">
        <v>15</v>
      </c>
      <c r="E587" t="s">
        <v>94</v>
      </c>
      <c r="F587">
        <v>5.8</v>
      </c>
      <c r="G587">
        <v>484</v>
      </c>
      <c r="H587">
        <v>0.3</v>
      </c>
      <c r="I587">
        <v>4</v>
      </c>
      <c r="J587">
        <v>1</v>
      </c>
      <c r="K587">
        <v>7.99</v>
      </c>
      <c r="L587" t="s">
        <v>658</v>
      </c>
      <c r="M587" s="1">
        <v>44656</v>
      </c>
      <c r="N587">
        <f>YEAR(Raw_Data[[#This Row],[join_date_UK]])</f>
        <v>2022</v>
      </c>
    </row>
    <row r="588" spans="1:14" x14ac:dyDescent="0.3">
      <c r="A588" t="s">
        <v>1099</v>
      </c>
      <c r="B588" t="s">
        <v>39</v>
      </c>
      <c r="C588">
        <v>50</v>
      </c>
      <c r="D588" t="s">
        <v>34</v>
      </c>
      <c r="E588" t="s">
        <v>94</v>
      </c>
      <c r="F588">
        <v>10.3</v>
      </c>
      <c r="G588">
        <v>519</v>
      </c>
      <c r="H588">
        <v>0.05</v>
      </c>
      <c r="I588">
        <v>4</v>
      </c>
      <c r="J588">
        <v>1</v>
      </c>
      <c r="K588">
        <v>12.99</v>
      </c>
      <c r="L588" t="s">
        <v>1100</v>
      </c>
      <c r="M588" s="1">
        <v>45252</v>
      </c>
      <c r="N588">
        <f>YEAR(Raw_Data[[#This Row],[join_date_UK]])</f>
        <v>2023</v>
      </c>
    </row>
    <row r="589" spans="1:14" x14ac:dyDescent="0.3">
      <c r="A589" t="s">
        <v>1101</v>
      </c>
      <c r="B589" t="s">
        <v>33</v>
      </c>
      <c r="C589">
        <v>40</v>
      </c>
      <c r="D589" t="s">
        <v>23</v>
      </c>
      <c r="E589" t="s">
        <v>94</v>
      </c>
      <c r="F589">
        <v>18.8</v>
      </c>
      <c r="G589">
        <v>480</v>
      </c>
      <c r="H589">
        <v>0.1</v>
      </c>
      <c r="I589">
        <v>4</v>
      </c>
      <c r="J589">
        <v>1</v>
      </c>
      <c r="K589">
        <v>9.99</v>
      </c>
      <c r="L589" t="s">
        <v>1102</v>
      </c>
      <c r="M589" s="1">
        <v>45029</v>
      </c>
      <c r="N589">
        <f>YEAR(Raw_Data[[#This Row],[join_date_UK]])</f>
        <v>2023</v>
      </c>
    </row>
    <row r="590" spans="1:14" x14ac:dyDescent="0.3">
      <c r="A590" t="s">
        <v>1103</v>
      </c>
      <c r="B590" t="s">
        <v>39</v>
      </c>
      <c r="C590">
        <v>35</v>
      </c>
      <c r="D590" t="s">
        <v>34</v>
      </c>
      <c r="E590" t="s">
        <v>94</v>
      </c>
      <c r="F590">
        <v>8.9</v>
      </c>
      <c r="G590">
        <v>464</v>
      </c>
      <c r="H590">
        <v>0.1</v>
      </c>
      <c r="I590">
        <v>4</v>
      </c>
      <c r="J590">
        <v>1</v>
      </c>
      <c r="L590" t="s">
        <v>1104</v>
      </c>
      <c r="M590" s="1">
        <v>45238</v>
      </c>
      <c r="N590">
        <f>YEAR(Raw_Data[[#This Row],[join_date_UK]])</f>
        <v>2023</v>
      </c>
    </row>
    <row r="591" spans="1:14" x14ac:dyDescent="0.3">
      <c r="A591" t="s">
        <v>1105</v>
      </c>
      <c r="B591" t="s">
        <v>39</v>
      </c>
      <c r="C591">
        <v>18</v>
      </c>
      <c r="D591" t="s">
        <v>34</v>
      </c>
      <c r="E591" t="s">
        <v>94</v>
      </c>
      <c r="F591">
        <v>6.3</v>
      </c>
      <c r="G591">
        <v>514</v>
      </c>
      <c r="H591">
        <v>0.15</v>
      </c>
      <c r="I591">
        <v>4</v>
      </c>
      <c r="J591">
        <v>0</v>
      </c>
      <c r="L591" t="s">
        <v>1106</v>
      </c>
      <c r="M591" s="1">
        <v>45018</v>
      </c>
      <c r="N591">
        <f>YEAR(Raw_Data[[#This Row],[join_date_UK]])</f>
        <v>2023</v>
      </c>
    </row>
    <row r="592" spans="1:14" x14ac:dyDescent="0.3">
      <c r="A592" t="s">
        <v>15</v>
      </c>
      <c r="B592" t="s">
        <v>39</v>
      </c>
      <c r="C592">
        <v>26</v>
      </c>
      <c r="D592" t="s">
        <v>23</v>
      </c>
      <c r="E592" t="s">
        <v>94</v>
      </c>
      <c r="F592">
        <v>10.9</v>
      </c>
      <c r="G592">
        <v>490</v>
      </c>
      <c r="H592">
        <v>0.2</v>
      </c>
      <c r="I592">
        <v>4</v>
      </c>
      <c r="J592">
        <v>0</v>
      </c>
      <c r="K592">
        <v>9.99</v>
      </c>
      <c r="L592" t="s">
        <v>1107</v>
      </c>
      <c r="M592" s="1">
        <v>45285</v>
      </c>
      <c r="N592">
        <f>YEAR(Raw_Data[[#This Row],[join_date_UK]])</f>
        <v>2023</v>
      </c>
    </row>
    <row r="593" spans="1:14" x14ac:dyDescent="0.3">
      <c r="A593" t="s">
        <v>1108</v>
      </c>
      <c r="B593" t="s">
        <v>44</v>
      </c>
      <c r="C593">
        <v>48</v>
      </c>
      <c r="D593" t="s">
        <v>23</v>
      </c>
      <c r="E593" t="s">
        <v>94</v>
      </c>
      <c r="F593">
        <v>11.3</v>
      </c>
      <c r="G593">
        <v>486</v>
      </c>
      <c r="H593">
        <v>0.1</v>
      </c>
      <c r="I593">
        <v>4</v>
      </c>
      <c r="J593">
        <v>1</v>
      </c>
      <c r="K593">
        <v>7.99</v>
      </c>
      <c r="L593" t="s">
        <v>54</v>
      </c>
      <c r="M593" s="1">
        <v>44814</v>
      </c>
      <c r="N593">
        <f>YEAR(Raw_Data[[#This Row],[join_date_UK]])</f>
        <v>2022</v>
      </c>
    </row>
    <row r="594" spans="1:14" x14ac:dyDescent="0.3">
      <c r="A594" t="s">
        <v>1109</v>
      </c>
      <c r="B594" t="s">
        <v>14</v>
      </c>
      <c r="C594">
        <v>47</v>
      </c>
      <c r="D594" t="s">
        <v>34</v>
      </c>
      <c r="E594" t="s">
        <v>94</v>
      </c>
      <c r="F594">
        <v>0.1</v>
      </c>
      <c r="G594">
        <v>531</v>
      </c>
      <c r="H594">
        <v>0.15</v>
      </c>
      <c r="I594">
        <v>4</v>
      </c>
      <c r="J594">
        <v>0</v>
      </c>
      <c r="K594">
        <v>9.99</v>
      </c>
      <c r="L594" t="s">
        <v>168</v>
      </c>
      <c r="M594" s="1">
        <v>45191</v>
      </c>
      <c r="N594">
        <f>YEAR(Raw_Data[[#This Row],[join_date_UK]])</f>
        <v>2023</v>
      </c>
    </row>
    <row r="595" spans="1:14" x14ac:dyDescent="0.3">
      <c r="A595" t="s">
        <v>1110</v>
      </c>
      <c r="B595" t="s">
        <v>39</v>
      </c>
      <c r="C595">
        <v>59</v>
      </c>
      <c r="D595" t="s">
        <v>34</v>
      </c>
      <c r="E595" t="s">
        <v>94</v>
      </c>
      <c r="F595">
        <v>19.3</v>
      </c>
      <c r="G595">
        <v>464</v>
      </c>
      <c r="H595">
        <v>0.2</v>
      </c>
      <c r="I595">
        <v>4</v>
      </c>
      <c r="J595">
        <v>0</v>
      </c>
      <c r="K595">
        <v>9.99</v>
      </c>
      <c r="L595" t="s">
        <v>1111</v>
      </c>
      <c r="M595" s="1">
        <v>44942</v>
      </c>
      <c r="N595">
        <f>YEAR(Raw_Data[[#This Row],[join_date_UK]])</f>
        <v>2023</v>
      </c>
    </row>
    <row r="596" spans="1:14" x14ac:dyDescent="0.3">
      <c r="A596" t="s">
        <v>1112</v>
      </c>
      <c r="B596" t="s">
        <v>26</v>
      </c>
      <c r="C596">
        <v>35</v>
      </c>
      <c r="D596" t="s">
        <v>23</v>
      </c>
      <c r="E596" t="s">
        <v>94</v>
      </c>
      <c r="F596">
        <v>11.4</v>
      </c>
      <c r="G596">
        <v>490</v>
      </c>
      <c r="H596">
        <v>0.25</v>
      </c>
      <c r="I596">
        <v>4</v>
      </c>
      <c r="J596">
        <v>1</v>
      </c>
      <c r="K596">
        <v>9.99</v>
      </c>
      <c r="L596" t="s">
        <v>1113</v>
      </c>
      <c r="M596" s="1">
        <v>45454</v>
      </c>
      <c r="N596">
        <f>YEAR(Raw_Data[[#This Row],[join_date_UK]])</f>
        <v>2024</v>
      </c>
    </row>
    <row r="597" spans="1:14" x14ac:dyDescent="0.3">
      <c r="A597" t="s">
        <v>1114</v>
      </c>
      <c r="B597" t="s">
        <v>44</v>
      </c>
      <c r="C597">
        <v>19</v>
      </c>
      <c r="D597" t="s">
        <v>34</v>
      </c>
      <c r="E597" t="s">
        <v>94</v>
      </c>
      <c r="F597">
        <v>9.1999999999999993</v>
      </c>
      <c r="G597">
        <v>510</v>
      </c>
      <c r="H597">
        <v>0.3</v>
      </c>
      <c r="I597">
        <v>4</v>
      </c>
      <c r="J597">
        <v>0</v>
      </c>
      <c r="K597">
        <v>5</v>
      </c>
      <c r="L597" t="s">
        <v>1115</v>
      </c>
      <c r="M597" s="1">
        <v>44732</v>
      </c>
      <c r="N597">
        <f>YEAR(Raw_Data[[#This Row],[join_date_UK]])</f>
        <v>2022</v>
      </c>
    </row>
    <row r="598" spans="1:14" x14ac:dyDescent="0.3">
      <c r="A598" t="s">
        <v>1116</v>
      </c>
      <c r="B598" t="s">
        <v>73</v>
      </c>
      <c r="C598">
        <v>51</v>
      </c>
      <c r="D598" t="s">
        <v>30</v>
      </c>
      <c r="E598" t="s">
        <v>94</v>
      </c>
      <c r="F598">
        <v>8.1</v>
      </c>
      <c r="G598">
        <v>484</v>
      </c>
      <c r="H598">
        <v>0.1</v>
      </c>
      <c r="I598">
        <v>4</v>
      </c>
      <c r="J598">
        <v>1</v>
      </c>
      <c r="K598">
        <v>7.99</v>
      </c>
      <c r="L598" t="s">
        <v>1117</v>
      </c>
      <c r="M598" s="1">
        <v>45022</v>
      </c>
      <c r="N598">
        <f>YEAR(Raw_Data[[#This Row],[join_date_UK]])</f>
        <v>2023</v>
      </c>
    </row>
    <row r="599" spans="1:14" x14ac:dyDescent="0.3">
      <c r="A599" t="s">
        <v>1118</v>
      </c>
      <c r="B599" t="s">
        <v>39</v>
      </c>
      <c r="C599">
        <v>59</v>
      </c>
      <c r="D599" t="s">
        <v>30</v>
      </c>
      <c r="E599" t="s">
        <v>94</v>
      </c>
      <c r="F599">
        <v>14.4</v>
      </c>
      <c r="G599">
        <v>503</v>
      </c>
      <c r="H599">
        <v>0.1</v>
      </c>
      <c r="I599">
        <v>4</v>
      </c>
      <c r="J599">
        <v>1</v>
      </c>
      <c r="K599">
        <v>9.99</v>
      </c>
      <c r="L599" t="s">
        <v>1119</v>
      </c>
      <c r="M599" s="1">
        <v>45343</v>
      </c>
      <c r="N599">
        <f>YEAR(Raw_Data[[#This Row],[join_date_UK]])</f>
        <v>2024</v>
      </c>
    </row>
    <row r="600" spans="1:14" x14ac:dyDescent="0.3">
      <c r="A600" t="s">
        <v>1120</v>
      </c>
      <c r="B600" t="s">
        <v>39</v>
      </c>
      <c r="C600">
        <v>58</v>
      </c>
      <c r="D600" t="s">
        <v>34</v>
      </c>
      <c r="E600" t="s">
        <v>94</v>
      </c>
      <c r="F600">
        <v>6.2</v>
      </c>
      <c r="G600">
        <v>571</v>
      </c>
      <c r="H600">
        <v>0.2</v>
      </c>
      <c r="I600">
        <v>4</v>
      </c>
      <c r="J600">
        <v>1</v>
      </c>
      <c r="K600">
        <v>7.99</v>
      </c>
      <c r="L600" t="s">
        <v>1121</v>
      </c>
      <c r="M600" s="1">
        <v>44643</v>
      </c>
      <c r="N600">
        <f>YEAR(Raw_Data[[#This Row],[join_date_UK]])</f>
        <v>2022</v>
      </c>
    </row>
    <row r="601" spans="1:14" x14ac:dyDescent="0.3">
      <c r="A601" t="s">
        <v>1122</v>
      </c>
      <c r="B601" t="s">
        <v>26</v>
      </c>
      <c r="C601">
        <v>52</v>
      </c>
      <c r="D601" t="s">
        <v>23</v>
      </c>
      <c r="E601" t="s">
        <v>94</v>
      </c>
      <c r="F601">
        <v>4.2</v>
      </c>
      <c r="G601">
        <v>471</v>
      </c>
      <c r="H601">
        <v>0.05</v>
      </c>
      <c r="I601">
        <v>4</v>
      </c>
      <c r="J601">
        <v>0</v>
      </c>
      <c r="L601" t="s">
        <v>1123</v>
      </c>
      <c r="M601" s="1">
        <v>45247</v>
      </c>
      <c r="N601">
        <f>YEAR(Raw_Data[[#This Row],[join_date_UK]])</f>
        <v>2023</v>
      </c>
    </row>
    <row r="602" spans="1:14" x14ac:dyDescent="0.3">
      <c r="A602" t="s">
        <v>1124</v>
      </c>
      <c r="B602" t="s">
        <v>14</v>
      </c>
      <c r="C602">
        <v>44</v>
      </c>
      <c r="D602" t="s">
        <v>15</v>
      </c>
      <c r="E602" t="s">
        <v>94</v>
      </c>
      <c r="F602">
        <v>11.8</v>
      </c>
      <c r="G602">
        <v>525</v>
      </c>
      <c r="H602">
        <v>0.05</v>
      </c>
      <c r="I602">
        <v>4</v>
      </c>
      <c r="J602">
        <v>0</v>
      </c>
      <c r="L602" t="s">
        <v>1125</v>
      </c>
      <c r="M602" s="1">
        <v>44866</v>
      </c>
      <c r="N602">
        <f>YEAR(Raw_Data[[#This Row],[join_date_UK]])</f>
        <v>2022</v>
      </c>
    </row>
    <row r="603" spans="1:14" x14ac:dyDescent="0.3">
      <c r="A603" t="s">
        <v>1126</v>
      </c>
      <c r="B603" t="s">
        <v>39</v>
      </c>
      <c r="C603">
        <v>62</v>
      </c>
      <c r="D603" t="s">
        <v>15</v>
      </c>
      <c r="E603" t="s">
        <v>94</v>
      </c>
      <c r="F603">
        <v>11.4</v>
      </c>
      <c r="G603">
        <v>467</v>
      </c>
      <c r="H603">
        <v>0.1</v>
      </c>
      <c r="I603">
        <v>4</v>
      </c>
      <c r="J603">
        <v>0</v>
      </c>
      <c r="K603">
        <v>9.99</v>
      </c>
      <c r="L603" t="s">
        <v>212</v>
      </c>
      <c r="M603" s="1">
        <v>45099</v>
      </c>
      <c r="N603">
        <f>YEAR(Raw_Data[[#This Row],[join_date_UK]])</f>
        <v>2023</v>
      </c>
    </row>
    <row r="604" spans="1:14" x14ac:dyDescent="0.3">
      <c r="A604" t="s">
        <v>1127</v>
      </c>
      <c r="B604" t="s">
        <v>33</v>
      </c>
      <c r="C604">
        <v>35</v>
      </c>
      <c r="D604" t="s">
        <v>30</v>
      </c>
      <c r="E604" t="s">
        <v>94</v>
      </c>
      <c r="F604">
        <v>10.9</v>
      </c>
      <c r="G604">
        <v>482</v>
      </c>
      <c r="H604">
        <v>0.15</v>
      </c>
      <c r="I604">
        <v>4</v>
      </c>
      <c r="J604">
        <v>0</v>
      </c>
      <c r="K604">
        <v>7.99</v>
      </c>
      <c r="L604" t="s">
        <v>1128</v>
      </c>
      <c r="M604" s="1">
        <v>45260</v>
      </c>
      <c r="N604">
        <f>YEAR(Raw_Data[[#This Row],[join_date_UK]])</f>
        <v>2023</v>
      </c>
    </row>
    <row r="605" spans="1:14" x14ac:dyDescent="0.3">
      <c r="A605" t="s">
        <v>1129</v>
      </c>
      <c r="B605" t="s">
        <v>19</v>
      </c>
      <c r="C605">
        <v>28</v>
      </c>
      <c r="D605" t="s">
        <v>34</v>
      </c>
      <c r="E605" t="s">
        <v>94</v>
      </c>
      <c r="F605">
        <v>19.100000000000001</v>
      </c>
      <c r="G605">
        <v>504</v>
      </c>
      <c r="H605">
        <v>0.05</v>
      </c>
      <c r="I605">
        <v>4</v>
      </c>
      <c r="J605">
        <v>0</v>
      </c>
      <c r="K605">
        <v>9.99</v>
      </c>
      <c r="L605" t="s">
        <v>769</v>
      </c>
      <c r="M605" s="1">
        <v>45486</v>
      </c>
      <c r="N605">
        <f>YEAR(Raw_Data[[#This Row],[join_date_UK]])</f>
        <v>2024</v>
      </c>
    </row>
    <row r="606" spans="1:14" x14ac:dyDescent="0.3">
      <c r="A606" t="s">
        <v>1130</v>
      </c>
      <c r="B606" t="s">
        <v>73</v>
      </c>
      <c r="C606">
        <v>35</v>
      </c>
      <c r="D606" t="s">
        <v>34</v>
      </c>
      <c r="E606" t="s">
        <v>16</v>
      </c>
      <c r="F606">
        <v>11.7</v>
      </c>
      <c r="G606">
        <v>516</v>
      </c>
      <c r="H606">
        <v>0.25</v>
      </c>
      <c r="I606">
        <v>5</v>
      </c>
      <c r="J606">
        <v>1</v>
      </c>
      <c r="K606">
        <v>7.99</v>
      </c>
      <c r="L606" t="s">
        <v>437</v>
      </c>
      <c r="M606" s="1">
        <v>45091</v>
      </c>
      <c r="N606">
        <f>YEAR(Raw_Data[[#This Row],[join_date_UK]])</f>
        <v>2023</v>
      </c>
    </row>
    <row r="607" spans="1:14" x14ac:dyDescent="0.3">
      <c r="A607" t="s">
        <v>1131</v>
      </c>
      <c r="B607" t="s">
        <v>39</v>
      </c>
      <c r="C607">
        <v>57</v>
      </c>
      <c r="D607" t="s">
        <v>23</v>
      </c>
      <c r="E607" t="s">
        <v>16</v>
      </c>
      <c r="F607">
        <v>11.9</v>
      </c>
      <c r="G607">
        <v>493</v>
      </c>
      <c r="H607">
        <v>0.1</v>
      </c>
      <c r="I607">
        <v>5</v>
      </c>
      <c r="J607">
        <v>1</v>
      </c>
      <c r="K607">
        <v>12.99</v>
      </c>
      <c r="L607" t="s">
        <v>551</v>
      </c>
      <c r="M607" s="1">
        <v>45248</v>
      </c>
      <c r="N607">
        <f>YEAR(Raw_Data[[#This Row],[join_date_UK]])</f>
        <v>2023</v>
      </c>
    </row>
    <row r="608" spans="1:14" x14ac:dyDescent="0.3">
      <c r="A608" t="s">
        <v>1132</v>
      </c>
      <c r="B608" t="s">
        <v>73</v>
      </c>
      <c r="C608">
        <v>59</v>
      </c>
      <c r="D608" t="s">
        <v>34</v>
      </c>
      <c r="E608" t="s">
        <v>16</v>
      </c>
      <c r="F608">
        <v>9.9</v>
      </c>
      <c r="G608">
        <v>511</v>
      </c>
      <c r="H608">
        <v>0.25</v>
      </c>
      <c r="I608">
        <v>5</v>
      </c>
      <c r="J608">
        <v>0</v>
      </c>
      <c r="K608">
        <v>7.99</v>
      </c>
      <c r="L608" t="s">
        <v>1133</v>
      </c>
      <c r="M608" s="1">
        <v>44979</v>
      </c>
      <c r="N608">
        <f>YEAR(Raw_Data[[#This Row],[join_date_UK]])</f>
        <v>2023</v>
      </c>
    </row>
    <row r="609" spans="1:14" x14ac:dyDescent="0.3">
      <c r="A609" t="s">
        <v>1134</v>
      </c>
      <c r="B609" t="s">
        <v>44</v>
      </c>
      <c r="C609">
        <v>40</v>
      </c>
      <c r="D609" t="s">
        <v>23</v>
      </c>
      <c r="E609" t="s">
        <v>16</v>
      </c>
      <c r="F609">
        <v>3.6</v>
      </c>
      <c r="G609">
        <v>509</v>
      </c>
      <c r="H609">
        <v>0.25</v>
      </c>
      <c r="I609">
        <v>5</v>
      </c>
      <c r="J609">
        <v>1</v>
      </c>
      <c r="K609">
        <v>7.99</v>
      </c>
      <c r="L609" t="s">
        <v>433</v>
      </c>
      <c r="M609" s="1">
        <v>44908</v>
      </c>
      <c r="N609">
        <f>YEAR(Raw_Data[[#This Row],[join_date_UK]])</f>
        <v>2022</v>
      </c>
    </row>
    <row r="610" spans="1:14" x14ac:dyDescent="0.3">
      <c r="A610" t="s">
        <v>1135</v>
      </c>
      <c r="B610" t="s">
        <v>39</v>
      </c>
      <c r="C610">
        <v>27</v>
      </c>
      <c r="D610" t="s">
        <v>23</v>
      </c>
      <c r="E610" t="s">
        <v>16</v>
      </c>
      <c r="F610">
        <v>5.4</v>
      </c>
      <c r="G610">
        <v>441</v>
      </c>
      <c r="H610">
        <v>0.1</v>
      </c>
      <c r="I610">
        <v>5</v>
      </c>
      <c r="J610">
        <v>1</v>
      </c>
      <c r="K610">
        <v>7.99</v>
      </c>
      <c r="L610" t="s">
        <v>1136</v>
      </c>
      <c r="M610" s="1">
        <v>45183</v>
      </c>
      <c r="N610">
        <f>YEAR(Raw_Data[[#This Row],[join_date_UK]])</f>
        <v>2023</v>
      </c>
    </row>
    <row r="611" spans="1:14" x14ac:dyDescent="0.3">
      <c r="A611" t="s">
        <v>1137</v>
      </c>
      <c r="B611" t="s">
        <v>73</v>
      </c>
      <c r="C611">
        <v>63</v>
      </c>
      <c r="D611" t="s">
        <v>23</v>
      </c>
      <c r="E611" t="s">
        <v>16</v>
      </c>
      <c r="F611">
        <v>1</v>
      </c>
      <c r="G611">
        <v>503</v>
      </c>
      <c r="H611">
        <v>0.1</v>
      </c>
      <c r="I611">
        <v>5</v>
      </c>
      <c r="J611">
        <v>1</v>
      </c>
      <c r="K611">
        <v>9.99</v>
      </c>
      <c r="L611" t="s">
        <v>966</v>
      </c>
      <c r="M611" s="1">
        <v>45236</v>
      </c>
      <c r="N611">
        <f>YEAR(Raw_Data[[#This Row],[join_date_UK]])</f>
        <v>2023</v>
      </c>
    </row>
    <row r="612" spans="1:14" x14ac:dyDescent="0.3">
      <c r="A612" t="s">
        <v>1138</v>
      </c>
      <c r="B612" t="s">
        <v>39</v>
      </c>
      <c r="C612">
        <v>27</v>
      </c>
      <c r="D612" t="s">
        <v>15</v>
      </c>
      <c r="E612" t="s">
        <v>16</v>
      </c>
      <c r="F612">
        <v>7.8</v>
      </c>
      <c r="G612">
        <v>525</v>
      </c>
      <c r="H612">
        <v>0.15</v>
      </c>
      <c r="I612">
        <v>5</v>
      </c>
      <c r="J612">
        <v>1</v>
      </c>
      <c r="K612">
        <v>7.99</v>
      </c>
      <c r="L612" t="s">
        <v>1139</v>
      </c>
      <c r="M612" s="1">
        <v>44810</v>
      </c>
      <c r="N612">
        <f>YEAR(Raw_Data[[#This Row],[join_date_UK]])</f>
        <v>2022</v>
      </c>
    </row>
    <row r="613" spans="1:14" x14ac:dyDescent="0.3">
      <c r="A613" t="s">
        <v>1140</v>
      </c>
      <c r="B613" t="s">
        <v>19</v>
      </c>
      <c r="C613">
        <v>41</v>
      </c>
      <c r="D613" t="s">
        <v>30</v>
      </c>
      <c r="E613" t="s">
        <v>16</v>
      </c>
      <c r="F613">
        <v>0.9</v>
      </c>
      <c r="G613">
        <v>500</v>
      </c>
      <c r="H613">
        <v>0.15</v>
      </c>
      <c r="I613">
        <v>5</v>
      </c>
      <c r="J613">
        <v>0</v>
      </c>
      <c r="K613">
        <v>7.99</v>
      </c>
      <c r="L613" t="s">
        <v>1141</v>
      </c>
      <c r="M613" s="1">
        <v>45091</v>
      </c>
      <c r="N613">
        <f>YEAR(Raw_Data[[#This Row],[join_date_UK]])</f>
        <v>2023</v>
      </c>
    </row>
    <row r="614" spans="1:14" x14ac:dyDescent="0.3">
      <c r="A614" t="s">
        <v>1142</v>
      </c>
      <c r="B614" t="s">
        <v>44</v>
      </c>
      <c r="C614">
        <v>43</v>
      </c>
      <c r="D614" t="s">
        <v>34</v>
      </c>
      <c r="E614" t="s">
        <v>16</v>
      </c>
      <c r="F614">
        <v>12.3</v>
      </c>
      <c r="G614">
        <v>535</v>
      </c>
      <c r="H614">
        <v>0.1</v>
      </c>
      <c r="I614">
        <v>5</v>
      </c>
      <c r="J614">
        <v>1</v>
      </c>
      <c r="K614">
        <v>9.99</v>
      </c>
      <c r="L614" t="s">
        <v>560</v>
      </c>
      <c r="M614" s="1">
        <v>44862</v>
      </c>
      <c r="N614">
        <f>YEAR(Raw_Data[[#This Row],[join_date_UK]])</f>
        <v>2022</v>
      </c>
    </row>
    <row r="615" spans="1:14" x14ac:dyDescent="0.3">
      <c r="A615" t="s">
        <v>1143</v>
      </c>
      <c r="B615" t="s">
        <v>39</v>
      </c>
      <c r="C615">
        <v>59</v>
      </c>
      <c r="D615" t="s">
        <v>30</v>
      </c>
      <c r="E615" t="s">
        <v>16</v>
      </c>
      <c r="F615">
        <v>18.2</v>
      </c>
      <c r="G615">
        <v>484</v>
      </c>
      <c r="H615">
        <v>0.2</v>
      </c>
      <c r="I615">
        <v>5</v>
      </c>
      <c r="J615">
        <v>0</v>
      </c>
      <c r="K615">
        <v>7.99</v>
      </c>
      <c r="L615" t="s">
        <v>1144</v>
      </c>
      <c r="M615" s="1">
        <v>45459</v>
      </c>
      <c r="N615">
        <f>YEAR(Raw_Data[[#This Row],[join_date_UK]])</f>
        <v>2024</v>
      </c>
    </row>
    <row r="616" spans="1:14" x14ac:dyDescent="0.3">
      <c r="A616" t="s">
        <v>1145</v>
      </c>
      <c r="B616" t="s">
        <v>39</v>
      </c>
      <c r="C616">
        <v>23</v>
      </c>
      <c r="D616" t="s">
        <v>23</v>
      </c>
      <c r="E616" t="s">
        <v>16</v>
      </c>
      <c r="F616">
        <v>21.5</v>
      </c>
      <c r="G616">
        <v>528</v>
      </c>
      <c r="H616">
        <v>0.2</v>
      </c>
      <c r="I616">
        <v>5</v>
      </c>
      <c r="J616">
        <v>0</v>
      </c>
      <c r="K616">
        <v>9.99</v>
      </c>
      <c r="L616" t="s">
        <v>1146</v>
      </c>
      <c r="M616" s="1">
        <v>44733</v>
      </c>
      <c r="N616">
        <f>YEAR(Raw_Data[[#This Row],[join_date_UK]])</f>
        <v>2022</v>
      </c>
    </row>
    <row r="617" spans="1:14" x14ac:dyDescent="0.3">
      <c r="A617" t="s">
        <v>1147</v>
      </c>
      <c r="B617" t="s">
        <v>33</v>
      </c>
      <c r="C617">
        <v>13</v>
      </c>
      <c r="D617" t="s">
        <v>23</v>
      </c>
      <c r="E617" t="s">
        <v>16</v>
      </c>
      <c r="F617">
        <v>7.8</v>
      </c>
      <c r="G617">
        <v>498</v>
      </c>
      <c r="H617">
        <v>0.3</v>
      </c>
      <c r="I617">
        <v>5</v>
      </c>
      <c r="J617">
        <v>0</v>
      </c>
      <c r="K617">
        <v>7.99</v>
      </c>
      <c r="L617" t="s">
        <v>497</v>
      </c>
      <c r="M617" s="1">
        <v>44693</v>
      </c>
      <c r="N617">
        <f>YEAR(Raw_Data[[#This Row],[join_date_UK]])</f>
        <v>2022</v>
      </c>
    </row>
    <row r="618" spans="1:14" x14ac:dyDescent="0.3">
      <c r="A618" t="s">
        <v>1148</v>
      </c>
      <c r="B618" t="s">
        <v>22</v>
      </c>
      <c r="C618">
        <v>16</v>
      </c>
      <c r="D618" t="s">
        <v>23</v>
      </c>
      <c r="E618" t="s">
        <v>16</v>
      </c>
      <c r="F618">
        <v>12.1</v>
      </c>
      <c r="G618">
        <v>529</v>
      </c>
      <c r="H618">
        <v>0.2</v>
      </c>
      <c r="I618">
        <v>5</v>
      </c>
      <c r="J618">
        <v>1</v>
      </c>
      <c r="K618">
        <v>12.99</v>
      </c>
      <c r="L618" t="s">
        <v>1149</v>
      </c>
      <c r="M618" s="1">
        <v>45276</v>
      </c>
      <c r="N618">
        <f>YEAR(Raw_Data[[#This Row],[join_date_UK]])</f>
        <v>2023</v>
      </c>
    </row>
    <row r="619" spans="1:14" x14ac:dyDescent="0.3">
      <c r="A619" t="s">
        <v>1150</v>
      </c>
      <c r="B619" t="s">
        <v>14</v>
      </c>
      <c r="C619">
        <v>34</v>
      </c>
      <c r="D619" t="s">
        <v>34</v>
      </c>
      <c r="E619" t="s">
        <v>16</v>
      </c>
      <c r="F619">
        <v>1.2</v>
      </c>
      <c r="G619">
        <v>502</v>
      </c>
      <c r="H619">
        <v>0.1</v>
      </c>
      <c r="I619">
        <v>5</v>
      </c>
      <c r="J619">
        <v>1</v>
      </c>
      <c r="K619">
        <v>9.99</v>
      </c>
      <c r="L619" t="s">
        <v>1151</v>
      </c>
      <c r="M619" s="1">
        <v>45386</v>
      </c>
      <c r="N619">
        <f>YEAR(Raw_Data[[#This Row],[join_date_UK]])</f>
        <v>2024</v>
      </c>
    </row>
    <row r="620" spans="1:14" x14ac:dyDescent="0.3">
      <c r="A620" t="s">
        <v>1152</v>
      </c>
      <c r="B620" t="s">
        <v>14</v>
      </c>
      <c r="C620">
        <v>49</v>
      </c>
      <c r="D620" t="s">
        <v>15</v>
      </c>
      <c r="E620" t="s">
        <v>16</v>
      </c>
      <c r="F620">
        <v>10.5</v>
      </c>
      <c r="G620">
        <v>507</v>
      </c>
      <c r="H620">
        <v>0.1</v>
      </c>
      <c r="I620">
        <v>5</v>
      </c>
      <c r="J620">
        <v>0</v>
      </c>
      <c r="K620">
        <v>9.99</v>
      </c>
      <c r="L620" t="s">
        <v>1153</v>
      </c>
      <c r="M620" s="1">
        <v>45497</v>
      </c>
      <c r="N620">
        <f>YEAR(Raw_Data[[#This Row],[join_date_UK]])</f>
        <v>2024</v>
      </c>
    </row>
    <row r="621" spans="1:14" x14ac:dyDescent="0.3">
      <c r="A621" t="s">
        <v>1154</v>
      </c>
      <c r="B621" t="s">
        <v>44</v>
      </c>
      <c r="C621">
        <v>54</v>
      </c>
      <c r="D621" t="s">
        <v>34</v>
      </c>
      <c r="E621" t="s">
        <v>16</v>
      </c>
      <c r="F621">
        <v>6.7</v>
      </c>
      <c r="G621">
        <v>542</v>
      </c>
      <c r="H621">
        <v>0.2</v>
      </c>
      <c r="I621">
        <v>5</v>
      </c>
      <c r="J621">
        <v>0</v>
      </c>
      <c r="K621">
        <v>9.99</v>
      </c>
      <c r="L621" t="s">
        <v>78</v>
      </c>
      <c r="M621" s="1">
        <v>45329</v>
      </c>
      <c r="N621">
        <f>YEAR(Raw_Data[[#This Row],[join_date_UK]])</f>
        <v>2024</v>
      </c>
    </row>
    <row r="622" spans="1:14" x14ac:dyDescent="0.3">
      <c r="A622" t="s">
        <v>1155</v>
      </c>
      <c r="B622" t="s">
        <v>22</v>
      </c>
      <c r="C622">
        <v>39</v>
      </c>
      <c r="D622" t="s">
        <v>34</v>
      </c>
      <c r="E622" t="s">
        <v>16</v>
      </c>
      <c r="F622">
        <v>18.7</v>
      </c>
      <c r="G622">
        <v>482</v>
      </c>
      <c r="H622">
        <v>0.2</v>
      </c>
      <c r="I622">
        <v>5</v>
      </c>
      <c r="J622">
        <v>0</v>
      </c>
      <c r="K622">
        <v>5</v>
      </c>
      <c r="L622" t="s">
        <v>327</v>
      </c>
      <c r="M622" s="1">
        <v>44592</v>
      </c>
      <c r="N622">
        <f>YEAR(Raw_Data[[#This Row],[join_date_UK]])</f>
        <v>2022</v>
      </c>
    </row>
    <row r="623" spans="1:14" x14ac:dyDescent="0.3">
      <c r="A623" t="s">
        <v>1156</v>
      </c>
      <c r="B623" t="s">
        <v>29</v>
      </c>
      <c r="C623">
        <v>32</v>
      </c>
      <c r="D623" t="s">
        <v>23</v>
      </c>
      <c r="E623" t="s">
        <v>16</v>
      </c>
      <c r="F623">
        <v>16.399999999999999</v>
      </c>
      <c r="G623">
        <v>495</v>
      </c>
      <c r="H623">
        <v>0.1</v>
      </c>
      <c r="I623">
        <v>5</v>
      </c>
      <c r="J623">
        <v>0</v>
      </c>
      <c r="L623" t="s">
        <v>1157</v>
      </c>
      <c r="M623" s="1">
        <v>44902</v>
      </c>
      <c r="N623">
        <f>YEAR(Raw_Data[[#This Row],[join_date_UK]])</f>
        <v>2022</v>
      </c>
    </row>
    <row r="624" spans="1:14" x14ac:dyDescent="0.3">
      <c r="A624" t="s">
        <v>1158</v>
      </c>
      <c r="B624" t="s">
        <v>44</v>
      </c>
      <c r="C624">
        <v>32</v>
      </c>
      <c r="D624" t="s">
        <v>23</v>
      </c>
      <c r="E624" t="s">
        <v>16</v>
      </c>
      <c r="F624">
        <v>11.6</v>
      </c>
      <c r="G624">
        <v>505</v>
      </c>
      <c r="H624">
        <v>0.2</v>
      </c>
      <c r="I624">
        <v>5</v>
      </c>
      <c r="J624">
        <v>1</v>
      </c>
      <c r="K624">
        <v>7.99</v>
      </c>
      <c r="L624" t="s">
        <v>92</v>
      </c>
      <c r="M624" s="1">
        <v>44776</v>
      </c>
      <c r="N624">
        <f>YEAR(Raw_Data[[#This Row],[join_date_UK]])</f>
        <v>2022</v>
      </c>
    </row>
    <row r="625" spans="1:14" x14ac:dyDescent="0.3">
      <c r="A625" t="s">
        <v>1159</v>
      </c>
      <c r="B625" t="s">
        <v>73</v>
      </c>
      <c r="C625">
        <v>59</v>
      </c>
      <c r="D625" t="s">
        <v>23</v>
      </c>
      <c r="E625" t="s">
        <v>16</v>
      </c>
      <c r="F625">
        <v>4.7</v>
      </c>
      <c r="G625">
        <v>474</v>
      </c>
      <c r="H625">
        <v>0.15</v>
      </c>
      <c r="I625">
        <v>5</v>
      </c>
      <c r="J625">
        <v>1</v>
      </c>
      <c r="K625">
        <v>9.99</v>
      </c>
      <c r="L625" t="s">
        <v>1160</v>
      </c>
      <c r="M625" s="1">
        <v>44780</v>
      </c>
      <c r="N625">
        <f>YEAR(Raw_Data[[#This Row],[join_date_UK]])</f>
        <v>2022</v>
      </c>
    </row>
    <row r="626" spans="1:14" x14ac:dyDescent="0.3">
      <c r="A626" t="s">
        <v>1161</v>
      </c>
      <c r="B626" t="s">
        <v>14</v>
      </c>
      <c r="C626">
        <v>38</v>
      </c>
      <c r="D626" t="s">
        <v>30</v>
      </c>
      <c r="E626" t="s">
        <v>16</v>
      </c>
      <c r="F626">
        <v>18.399999999999999</v>
      </c>
      <c r="G626">
        <v>501</v>
      </c>
      <c r="H626">
        <v>0.25</v>
      </c>
      <c r="I626">
        <v>5</v>
      </c>
      <c r="J626">
        <v>1</v>
      </c>
      <c r="K626">
        <v>5</v>
      </c>
      <c r="L626" t="s">
        <v>1162</v>
      </c>
      <c r="M626" s="1">
        <v>45227</v>
      </c>
      <c r="N626">
        <f>YEAR(Raw_Data[[#This Row],[join_date_UK]])</f>
        <v>2023</v>
      </c>
    </row>
    <row r="627" spans="1:14" x14ac:dyDescent="0.3">
      <c r="A627" t="s">
        <v>1163</v>
      </c>
      <c r="B627" t="s">
        <v>39</v>
      </c>
      <c r="C627">
        <v>42</v>
      </c>
      <c r="D627" t="s">
        <v>34</v>
      </c>
      <c r="E627" t="s">
        <v>16</v>
      </c>
      <c r="F627">
        <v>6.7</v>
      </c>
      <c r="G627">
        <v>507</v>
      </c>
      <c r="H627">
        <v>0.25</v>
      </c>
      <c r="I627">
        <v>5</v>
      </c>
      <c r="J627">
        <v>0</v>
      </c>
      <c r="L627" t="s">
        <v>78</v>
      </c>
      <c r="M627" s="1">
        <v>45329</v>
      </c>
      <c r="N627">
        <f>YEAR(Raw_Data[[#This Row],[join_date_UK]])</f>
        <v>2024</v>
      </c>
    </row>
    <row r="628" spans="1:14" x14ac:dyDescent="0.3">
      <c r="A628" t="s">
        <v>1164</v>
      </c>
      <c r="B628" t="s">
        <v>44</v>
      </c>
      <c r="C628">
        <v>38</v>
      </c>
      <c r="D628" t="s">
        <v>34</v>
      </c>
      <c r="E628" t="s">
        <v>16</v>
      </c>
      <c r="F628">
        <v>12.6</v>
      </c>
      <c r="G628">
        <v>456</v>
      </c>
      <c r="H628">
        <v>0.05</v>
      </c>
      <c r="I628">
        <v>5</v>
      </c>
      <c r="J628">
        <v>0</v>
      </c>
      <c r="L628" t="s">
        <v>849</v>
      </c>
      <c r="M628" s="1">
        <v>44872</v>
      </c>
      <c r="N628">
        <f>YEAR(Raw_Data[[#This Row],[join_date_UK]])</f>
        <v>2022</v>
      </c>
    </row>
    <row r="629" spans="1:14" x14ac:dyDescent="0.3">
      <c r="A629" t="s">
        <v>1165</v>
      </c>
      <c r="B629" t="s">
        <v>73</v>
      </c>
      <c r="C629">
        <v>46</v>
      </c>
      <c r="D629" t="s">
        <v>34</v>
      </c>
      <c r="E629" t="s">
        <v>16</v>
      </c>
      <c r="F629">
        <v>9.6</v>
      </c>
      <c r="G629">
        <v>514</v>
      </c>
      <c r="H629">
        <v>0.3</v>
      </c>
      <c r="I629">
        <v>5</v>
      </c>
      <c r="J629">
        <v>0</v>
      </c>
      <c r="K629">
        <v>9.99</v>
      </c>
      <c r="L629" t="s">
        <v>1166</v>
      </c>
      <c r="M629" s="1">
        <v>45153</v>
      </c>
      <c r="N629">
        <f>YEAR(Raw_Data[[#This Row],[join_date_UK]])</f>
        <v>2023</v>
      </c>
    </row>
    <row r="630" spans="1:14" x14ac:dyDescent="0.3">
      <c r="A630" t="s">
        <v>1167</v>
      </c>
      <c r="B630" t="s">
        <v>26</v>
      </c>
      <c r="C630">
        <v>15</v>
      </c>
      <c r="D630" t="s">
        <v>34</v>
      </c>
      <c r="E630" t="s">
        <v>16</v>
      </c>
      <c r="F630">
        <v>5.0999999999999996</v>
      </c>
      <c r="G630">
        <v>489</v>
      </c>
      <c r="H630">
        <v>0.2</v>
      </c>
      <c r="I630">
        <v>5</v>
      </c>
      <c r="J630">
        <v>0</v>
      </c>
      <c r="L630" t="s">
        <v>1071</v>
      </c>
      <c r="M630" s="1">
        <v>44562</v>
      </c>
      <c r="N630">
        <f>YEAR(Raw_Data[[#This Row],[join_date_UK]])</f>
        <v>2022</v>
      </c>
    </row>
    <row r="631" spans="1:14" x14ac:dyDescent="0.3">
      <c r="A631" t="s">
        <v>1168</v>
      </c>
      <c r="B631" t="s">
        <v>33</v>
      </c>
      <c r="C631">
        <v>29</v>
      </c>
      <c r="D631" t="s">
        <v>34</v>
      </c>
      <c r="E631" t="s">
        <v>16</v>
      </c>
      <c r="F631">
        <v>13.7</v>
      </c>
      <c r="G631">
        <v>510</v>
      </c>
      <c r="H631">
        <v>0.1</v>
      </c>
      <c r="I631">
        <v>5</v>
      </c>
      <c r="J631">
        <v>0</v>
      </c>
      <c r="K631">
        <v>5</v>
      </c>
      <c r="L631" t="s">
        <v>1169</v>
      </c>
      <c r="M631" s="1">
        <v>44671</v>
      </c>
      <c r="N631">
        <f>YEAR(Raw_Data[[#This Row],[join_date_UK]])</f>
        <v>2022</v>
      </c>
    </row>
    <row r="632" spans="1:14" x14ac:dyDescent="0.3">
      <c r="A632" t="s">
        <v>1170</v>
      </c>
      <c r="B632" t="s">
        <v>39</v>
      </c>
      <c r="C632">
        <v>29</v>
      </c>
      <c r="D632" t="s">
        <v>23</v>
      </c>
      <c r="E632" t="s">
        <v>16</v>
      </c>
      <c r="F632">
        <v>11</v>
      </c>
      <c r="G632">
        <v>494</v>
      </c>
      <c r="H632">
        <v>0.2</v>
      </c>
      <c r="I632">
        <v>5</v>
      </c>
      <c r="J632">
        <v>0</v>
      </c>
      <c r="K632">
        <v>9.99</v>
      </c>
      <c r="L632" t="s">
        <v>1171</v>
      </c>
      <c r="M632" s="1">
        <v>45452</v>
      </c>
      <c r="N632">
        <f>YEAR(Raw_Data[[#This Row],[join_date_UK]])</f>
        <v>2024</v>
      </c>
    </row>
    <row r="633" spans="1:14" x14ac:dyDescent="0.3">
      <c r="A633" t="s">
        <v>1172</v>
      </c>
      <c r="B633" t="s">
        <v>29</v>
      </c>
      <c r="C633">
        <v>52</v>
      </c>
      <c r="D633" t="s">
        <v>30</v>
      </c>
      <c r="E633" t="s">
        <v>16</v>
      </c>
      <c r="F633">
        <v>10.9</v>
      </c>
      <c r="G633">
        <v>480</v>
      </c>
      <c r="H633">
        <v>0.05</v>
      </c>
      <c r="I633">
        <v>5</v>
      </c>
      <c r="J633">
        <v>1</v>
      </c>
      <c r="K633">
        <v>9.99</v>
      </c>
      <c r="L633" t="s">
        <v>1173</v>
      </c>
      <c r="M633" s="1">
        <v>44932</v>
      </c>
      <c r="N633">
        <f>YEAR(Raw_Data[[#This Row],[join_date_UK]])</f>
        <v>2023</v>
      </c>
    </row>
    <row r="634" spans="1:14" x14ac:dyDescent="0.3">
      <c r="A634" t="s">
        <v>1174</v>
      </c>
      <c r="B634" t="s">
        <v>29</v>
      </c>
      <c r="C634">
        <v>20</v>
      </c>
      <c r="D634" t="s">
        <v>34</v>
      </c>
      <c r="E634" t="s">
        <v>16</v>
      </c>
      <c r="F634">
        <v>10.5</v>
      </c>
      <c r="G634">
        <v>513</v>
      </c>
      <c r="H634">
        <v>0.1</v>
      </c>
      <c r="I634">
        <v>5</v>
      </c>
      <c r="J634">
        <v>0</v>
      </c>
      <c r="K634">
        <v>9.99</v>
      </c>
      <c r="L634" t="s">
        <v>1175</v>
      </c>
      <c r="M634" s="1">
        <v>44635</v>
      </c>
      <c r="N634">
        <f>YEAR(Raw_Data[[#This Row],[join_date_UK]])</f>
        <v>2022</v>
      </c>
    </row>
    <row r="635" spans="1:14" x14ac:dyDescent="0.3">
      <c r="A635" t="s">
        <v>1176</v>
      </c>
      <c r="B635" t="s">
        <v>39</v>
      </c>
      <c r="C635">
        <v>56</v>
      </c>
      <c r="D635" t="s">
        <v>23</v>
      </c>
      <c r="E635" t="s">
        <v>16</v>
      </c>
      <c r="F635">
        <v>11.5</v>
      </c>
      <c r="G635">
        <v>489</v>
      </c>
      <c r="H635">
        <v>0.2</v>
      </c>
      <c r="I635">
        <v>5</v>
      </c>
      <c r="J635">
        <v>1</v>
      </c>
      <c r="L635" t="s">
        <v>1177</v>
      </c>
      <c r="M635" s="1">
        <v>44916</v>
      </c>
      <c r="N635">
        <f>YEAR(Raw_Data[[#This Row],[join_date_UK]])</f>
        <v>2022</v>
      </c>
    </row>
    <row r="636" spans="1:14" x14ac:dyDescent="0.3">
      <c r="A636" t="s">
        <v>1178</v>
      </c>
      <c r="B636" t="s">
        <v>39</v>
      </c>
      <c r="C636">
        <v>49</v>
      </c>
      <c r="D636" t="s">
        <v>23</v>
      </c>
      <c r="E636" t="s">
        <v>53</v>
      </c>
      <c r="F636">
        <v>11.2</v>
      </c>
      <c r="G636">
        <v>508</v>
      </c>
      <c r="H636">
        <v>0.1</v>
      </c>
      <c r="I636">
        <v>5</v>
      </c>
      <c r="J636">
        <v>1</v>
      </c>
      <c r="K636">
        <v>0</v>
      </c>
      <c r="L636" t="s">
        <v>295</v>
      </c>
      <c r="M636" s="1">
        <v>44683</v>
      </c>
      <c r="N636">
        <f>YEAR(Raw_Data[[#This Row],[join_date_UK]])</f>
        <v>2022</v>
      </c>
    </row>
    <row r="637" spans="1:14" x14ac:dyDescent="0.3">
      <c r="A637" t="s">
        <v>1179</v>
      </c>
      <c r="B637" t="s">
        <v>44</v>
      </c>
      <c r="C637">
        <v>33</v>
      </c>
      <c r="D637" t="s">
        <v>34</v>
      </c>
      <c r="E637" t="s">
        <v>53</v>
      </c>
      <c r="F637">
        <v>13.8</v>
      </c>
      <c r="G637">
        <v>480</v>
      </c>
      <c r="H637">
        <v>0.2</v>
      </c>
      <c r="I637">
        <v>5</v>
      </c>
      <c r="J637">
        <v>0</v>
      </c>
      <c r="K637">
        <v>0</v>
      </c>
      <c r="L637" t="s">
        <v>1104</v>
      </c>
      <c r="M637" s="1">
        <v>45238</v>
      </c>
      <c r="N637">
        <f>YEAR(Raw_Data[[#This Row],[join_date_UK]])</f>
        <v>2023</v>
      </c>
    </row>
    <row r="638" spans="1:14" x14ac:dyDescent="0.3">
      <c r="A638" t="s">
        <v>1180</v>
      </c>
      <c r="B638" t="s">
        <v>14</v>
      </c>
      <c r="C638">
        <v>18</v>
      </c>
      <c r="D638" t="s">
        <v>23</v>
      </c>
      <c r="E638" t="s">
        <v>53</v>
      </c>
      <c r="F638">
        <v>4</v>
      </c>
      <c r="G638">
        <v>503</v>
      </c>
      <c r="H638">
        <v>0.2</v>
      </c>
      <c r="I638">
        <v>5</v>
      </c>
      <c r="J638">
        <v>0</v>
      </c>
      <c r="K638">
        <v>0</v>
      </c>
      <c r="L638" t="s">
        <v>1181</v>
      </c>
      <c r="M638" s="1">
        <v>44637</v>
      </c>
      <c r="N638">
        <f>YEAR(Raw_Data[[#This Row],[join_date_UK]])</f>
        <v>2022</v>
      </c>
    </row>
    <row r="639" spans="1:14" x14ac:dyDescent="0.3">
      <c r="A639" t="s">
        <v>15</v>
      </c>
      <c r="B639" t="s">
        <v>44</v>
      </c>
      <c r="C639">
        <v>40</v>
      </c>
      <c r="D639" t="s">
        <v>23</v>
      </c>
      <c r="E639" t="s">
        <v>53</v>
      </c>
      <c r="F639">
        <v>8.5</v>
      </c>
      <c r="G639">
        <v>501</v>
      </c>
      <c r="H639">
        <v>0.1</v>
      </c>
      <c r="I639">
        <v>5</v>
      </c>
      <c r="J639">
        <v>1</v>
      </c>
      <c r="K639">
        <v>0</v>
      </c>
      <c r="L639" t="s">
        <v>315</v>
      </c>
      <c r="M639" s="1">
        <v>45505</v>
      </c>
      <c r="N639">
        <f>YEAR(Raw_Data[[#This Row],[join_date_UK]])</f>
        <v>2024</v>
      </c>
    </row>
    <row r="640" spans="1:14" x14ac:dyDescent="0.3">
      <c r="A640" t="s">
        <v>1182</v>
      </c>
      <c r="B640" t="s">
        <v>39</v>
      </c>
      <c r="C640">
        <v>26</v>
      </c>
      <c r="D640" t="s">
        <v>30</v>
      </c>
      <c r="E640" t="s">
        <v>53</v>
      </c>
      <c r="F640">
        <v>15.5</v>
      </c>
      <c r="G640">
        <v>504</v>
      </c>
      <c r="H640">
        <v>0.1</v>
      </c>
      <c r="I640">
        <v>5</v>
      </c>
      <c r="J640">
        <v>1</v>
      </c>
      <c r="K640">
        <v>0</v>
      </c>
      <c r="L640" t="s">
        <v>1183</v>
      </c>
      <c r="M640" s="1">
        <v>45457</v>
      </c>
      <c r="N640">
        <f>YEAR(Raw_Data[[#This Row],[join_date_UK]])</f>
        <v>2024</v>
      </c>
    </row>
    <row r="641" spans="1:14" x14ac:dyDescent="0.3">
      <c r="A641" t="s">
        <v>1184</v>
      </c>
      <c r="B641" t="s">
        <v>26</v>
      </c>
      <c r="C641">
        <v>47</v>
      </c>
      <c r="D641" t="s">
        <v>23</v>
      </c>
      <c r="E641" t="s">
        <v>53</v>
      </c>
      <c r="F641">
        <v>23.4</v>
      </c>
      <c r="G641">
        <v>545</v>
      </c>
      <c r="H641">
        <v>0.2</v>
      </c>
      <c r="I641">
        <v>5</v>
      </c>
      <c r="J641">
        <v>1</v>
      </c>
      <c r="K641">
        <v>0</v>
      </c>
      <c r="L641" t="s">
        <v>1185</v>
      </c>
      <c r="M641" s="1">
        <v>44999</v>
      </c>
      <c r="N641">
        <f>YEAR(Raw_Data[[#This Row],[join_date_UK]])</f>
        <v>2023</v>
      </c>
    </row>
    <row r="642" spans="1:14" x14ac:dyDescent="0.3">
      <c r="A642" t="s">
        <v>1186</v>
      </c>
      <c r="B642" t="s">
        <v>22</v>
      </c>
      <c r="C642">
        <v>61</v>
      </c>
      <c r="D642" t="s">
        <v>30</v>
      </c>
      <c r="E642" t="s">
        <v>53</v>
      </c>
      <c r="F642">
        <v>18.600000000000001</v>
      </c>
      <c r="G642">
        <v>558</v>
      </c>
      <c r="H642">
        <v>0.15</v>
      </c>
      <c r="I642">
        <v>5</v>
      </c>
      <c r="J642">
        <v>0</v>
      </c>
      <c r="K642">
        <v>0</v>
      </c>
      <c r="L642" t="s">
        <v>1187</v>
      </c>
      <c r="M642" s="1">
        <v>45285</v>
      </c>
      <c r="N642">
        <f>YEAR(Raw_Data[[#This Row],[join_date_UK]])</f>
        <v>2023</v>
      </c>
    </row>
    <row r="643" spans="1:14" x14ac:dyDescent="0.3">
      <c r="A643" t="s">
        <v>1188</v>
      </c>
      <c r="B643" t="s">
        <v>33</v>
      </c>
      <c r="C643">
        <v>59</v>
      </c>
      <c r="D643" t="s">
        <v>34</v>
      </c>
      <c r="E643" t="s">
        <v>53</v>
      </c>
      <c r="F643">
        <v>2.8</v>
      </c>
      <c r="G643">
        <v>455</v>
      </c>
      <c r="H643">
        <v>0.1</v>
      </c>
      <c r="I643">
        <v>5</v>
      </c>
      <c r="J643">
        <v>0</v>
      </c>
      <c r="K643">
        <v>0</v>
      </c>
      <c r="L643" t="s">
        <v>1189</v>
      </c>
      <c r="M643" s="1">
        <v>45428</v>
      </c>
      <c r="N643">
        <f>YEAR(Raw_Data[[#This Row],[join_date_UK]])</f>
        <v>2024</v>
      </c>
    </row>
    <row r="644" spans="1:14" x14ac:dyDescent="0.3">
      <c r="A644" t="s">
        <v>1190</v>
      </c>
      <c r="B644" t="s">
        <v>39</v>
      </c>
      <c r="C644">
        <v>54</v>
      </c>
      <c r="D644" t="s">
        <v>34</v>
      </c>
      <c r="E644" t="s">
        <v>53</v>
      </c>
      <c r="F644">
        <v>11.5</v>
      </c>
      <c r="G644">
        <v>511</v>
      </c>
      <c r="H644">
        <v>0.2</v>
      </c>
      <c r="I644">
        <v>5</v>
      </c>
      <c r="J644">
        <v>1</v>
      </c>
      <c r="K644">
        <v>0</v>
      </c>
      <c r="L644" t="s">
        <v>1191</v>
      </c>
      <c r="M644" s="1">
        <v>45048</v>
      </c>
      <c r="N644">
        <f>YEAR(Raw_Data[[#This Row],[join_date_UK]])</f>
        <v>2023</v>
      </c>
    </row>
    <row r="645" spans="1:14" x14ac:dyDescent="0.3">
      <c r="A645" t="s">
        <v>1192</v>
      </c>
      <c r="B645" t="s">
        <v>19</v>
      </c>
      <c r="C645">
        <v>13</v>
      </c>
      <c r="D645" t="s">
        <v>23</v>
      </c>
      <c r="E645" t="s">
        <v>53</v>
      </c>
      <c r="F645">
        <v>6.8</v>
      </c>
      <c r="G645">
        <v>531</v>
      </c>
      <c r="H645">
        <v>0.15</v>
      </c>
      <c r="I645">
        <v>5</v>
      </c>
      <c r="J645">
        <v>0</v>
      </c>
      <c r="K645">
        <v>0</v>
      </c>
      <c r="L645" t="s">
        <v>849</v>
      </c>
      <c r="M645" s="1">
        <v>44872</v>
      </c>
      <c r="N645">
        <f>YEAR(Raw_Data[[#This Row],[join_date_UK]])</f>
        <v>2022</v>
      </c>
    </row>
    <row r="646" spans="1:14" x14ac:dyDescent="0.3">
      <c r="A646" t="s">
        <v>1193</v>
      </c>
      <c r="B646" t="s">
        <v>29</v>
      </c>
      <c r="C646">
        <v>48</v>
      </c>
      <c r="D646" t="s">
        <v>23</v>
      </c>
      <c r="E646" t="s">
        <v>53</v>
      </c>
      <c r="F646">
        <v>1</v>
      </c>
      <c r="G646">
        <v>562</v>
      </c>
      <c r="H646">
        <v>0.3</v>
      </c>
      <c r="I646">
        <v>5</v>
      </c>
      <c r="J646">
        <v>0</v>
      </c>
      <c r="K646">
        <v>0</v>
      </c>
      <c r="L646" t="s">
        <v>1194</v>
      </c>
      <c r="M646" s="1">
        <v>44598</v>
      </c>
      <c r="N646">
        <f>YEAR(Raw_Data[[#This Row],[join_date_UK]])</f>
        <v>2022</v>
      </c>
    </row>
    <row r="647" spans="1:14" x14ac:dyDescent="0.3">
      <c r="A647" t="s">
        <v>1195</v>
      </c>
      <c r="B647" t="s">
        <v>44</v>
      </c>
      <c r="C647">
        <v>38</v>
      </c>
      <c r="D647" t="s">
        <v>23</v>
      </c>
      <c r="E647" t="s">
        <v>53</v>
      </c>
      <c r="F647">
        <v>11.8</v>
      </c>
      <c r="G647">
        <v>484</v>
      </c>
      <c r="H647">
        <v>0.1</v>
      </c>
      <c r="I647">
        <v>5</v>
      </c>
      <c r="J647">
        <v>0</v>
      </c>
      <c r="K647">
        <v>0</v>
      </c>
      <c r="L647" t="s">
        <v>1196</v>
      </c>
      <c r="M647" s="1">
        <v>44803</v>
      </c>
      <c r="N647">
        <f>YEAR(Raw_Data[[#This Row],[join_date_UK]])</f>
        <v>2022</v>
      </c>
    </row>
    <row r="648" spans="1:14" x14ac:dyDescent="0.3">
      <c r="A648" t="s">
        <v>1197</v>
      </c>
      <c r="B648" t="s">
        <v>19</v>
      </c>
      <c r="C648">
        <v>64</v>
      </c>
      <c r="D648" t="s">
        <v>23</v>
      </c>
      <c r="E648" t="s">
        <v>66</v>
      </c>
      <c r="F648">
        <v>6.3</v>
      </c>
      <c r="G648">
        <v>504</v>
      </c>
      <c r="H648">
        <v>0.2</v>
      </c>
      <c r="I648">
        <v>5</v>
      </c>
      <c r="J648">
        <v>1</v>
      </c>
      <c r="K648">
        <v>5</v>
      </c>
      <c r="L648" t="s">
        <v>1198</v>
      </c>
      <c r="M648" s="1">
        <v>44917</v>
      </c>
      <c r="N648">
        <f>YEAR(Raw_Data[[#This Row],[join_date_UK]])</f>
        <v>2022</v>
      </c>
    </row>
    <row r="649" spans="1:14" x14ac:dyDescent="0.3">
      <c r="A649" t="s">
        <v>1199</v>
      </c>
      <c r="B649" t="s">
        <v>29</v>
      </c>
      <c r="C649">
        <v>48</v>
      </c>
      <c r="D649" t="s">
        <v>23</v>
      </c>
      <c r="E649" t="s">
        <v>66</v>
      </c>
      <c r="F649">
        <v>15.8</v>
      </c>
      <c r="G649">
        <v>493</v>
      </c>
      <c r="H649">
        <v>0.2</v>
      </c>
      <c r="I649">
        <v>5</v>
      </c>
      <c r="J649">
        <v>1</v>
      </c>
      <c r="K649">
        <v>5</v>
      </c>
      <c r="L649" t="s">
        <v>1200</v>
      </c>
      <c r="M649" s="1">
        <v>45270</v>
      </c>
      <c r="N649">
        <f>YEAR(Raw_Data[[#This Row],[join_date_UK]])</f>
        <v>2023</v>
      </c>
    </row>
    <row r="650" spans="1:14" x14ac:dyDescent="0.3">
      <c r="A650" t="s">
        <v>1201</v>
      </c>
      <c r="B650" t="s">
        <v>19</v>
      </c>
      <c r="C650">
        <v>49</v>
      </c>
      <c r="D650" t="s">
        <v>34</v>
      </c>
      <c r="E650" t="s">
        <v>66</v>
      </c>
      <c r="F650">
        <v>12.5</v>
      </c>
      <c r="G650">
        <v>532</v>
      </c>
      <c r="H650">
        <v>0.1</v>
      </c>
      <c r="I650">
        <v>5</v>
      </c>
      <c r="J650">
        <v>0</v>
      </c>
      <c r="L650" t="s">
        <v>1104</v>
      </c>
      <c r="M650" s="1">
        <v>45238</v>
      </c>
      <c r="N650">
        <f>YEAR(Raw_Data[[#This Row],[join_date_UK]])</f>
        <v>2023</v>
      </c>
    </row>
    <row r="651" spans="1:14" x14ac:dyDescent="0.3">
      <c r="A651" t="s">
        <v>1202</v>
      </c>
      <c r="B651" t="s">
        <v>14</v>
      </c>
      <c r="C651">
        <v>21</v>
      </c>
      <c r="D651" t="s">
        <v>34</v>
      </c>
      <c r="E651" t="s">
        <v>66</v>
      </c>
      <c r="F651">
        <v>9.1</v>
      </c>
      <c r="G651">
        <v>524</v>
      </c>
      <c r="H651">
        <v>0.1</v>
      </c>
      <c r="I651">
        <v>5</v>
      </c>
      <c r="J651">
        <v>0</v>
      </c>
      <c r="K651">
        <v>9.99</v>
      </c>
      <c r="L651" t="s">
        <v>1203</v>
      </c>
      <c r="M651" s="1">
        <v>44627</v>
      </c>
      <c r="N651">
        <f>YEAR(Raw_Data[[#This Row],[join_date_UK]])</f>
        <v>2022</v>
      </c>
    </row>
    <row r="652" spans="1:14" x14ac:dyDescent="0.3">
      <c r="A652" t="s">
        <v>1204</v>
      </c>
      <c r="B652" t="s">
        <v>39</v>
      </c>
      <c r="C652">
        <v>25</v>
      </c>
      <c r="D652" t="s">
        <v>30</v>
      </c>
      <c r="E652" t="s">
        <v>66</v>
      </c>
      <c r="F652">
        <v>9</v>
      </c>
      <c r="G652">
        <v>442</v>
      </c>
      <c r="H652">
        <v>0.2</v>
      </c>
      <c r="I652">
        <v>5</v>
      </c>
      <c r="J652">
        <v>0</v>
      </c>
      <c r="K652">
        <v>9.99</v>
      </c>
      <c r="L652" t="s">
        <v>1205</v>
      </c>
      <c r="M652" s="1">
        <v>44741</v>
      </c>
      <c r="N652">
        <f>YEAR(Raw_Data[[#This Row],[join_date_UK]])</f>
        <v>2022</v>
      </c>
    </row>
    <row r="653" spans="1:14" x14ac:dyDescent="0.3">
      <c r="A653" t="s">
        <v>1206</v>
      </c>
      <c r="B653" t="s">
        <v>44</v>
      </c>
      <c r="C653">
        <v>25</v>
      </c>
      <c r="D653" t="s">
        <v>23</v>
      </c>
      <c r="E653" t="s">
        <v>66</v>
      </c>
      <c r="F653">
        <v>10.199999999999999</v>
      </c>
      <c r="G653">
        <v>542</v>
      </c>
      <c r="H653">
        <v>0.1</v>
      </c>
      <c r="I653">
        <v>5</v>
      </c>
      <c r="J653">
        <v>0</v>
      </c>
      <c r="L653" t="s">
        <v>1207</v>
      </c>
      <c r="M653" s="1">
        <v>44906</v>
      </c>
      <c r="N653">
        <f>YEAR(Raw_Data[[#This Row],[join_date_UK]])</f>
        <v>2022</v>
      </c>
    </row>
    <row r="654" spans="1:14" x14ac:dyDescent="0.3">
      <c r="A654" t="s">
        <v>1208</v>
      </c>
      <c r="B654" t="s">
        <v>29</v>
      </c>
      <c r="C654">
        <v>63</v>
      </c>
      <c r="D654" t="s">
        <v>34</v>
      </c>
      <c r="E654" t="s">
        <v>66</v>
      </c>
      <c r="F654">
        <v>19</v>
      </c>
      <c r="G654">
        <v>495</v>
      </c>
      <c r="H654">
        <v>0.05</v>
      </c>
      <c r="I654">
        <v>5</v>
      </c>
      <c r="J654">
        <v>1</v>
      </c>
      <c r="K654">
        <v>7.99</v>
      </c>
      <c r="L654" t="s">
        <v>445</v>
      </c>
      <c r="M654" s="1">
        <v>45122</v>
      </c>
      <c r="N654">
        <f>YEAR(Raw_Data[[#This Row],[join_date_UK]])</f>
        <v>2023</v>
      </c>
    </row>
    <row r="655" spans="1:14" x14ac:dyDescent="0.3">
      <c r="A655" t="s">
        <v>1209</v>
      </c>
      <c r="B655" t="s">
        <v>26</v>
      </c>
      <c r="C655">
        <v>16</v>
      </c>
      <c r="D655" t="s">
        <v>23</v>
      </c>
      <c r="E655" t="s">
        <v>66</v>
      </c>
      <c r="F655">
        <v>7.3</v>
      </c>
      <c r="G655">
        <v>500</v>
      </c>
      <c r="H655">
        <v>0.05</v>
      </c>
      <c r="I655">
        <v>5</v>
      </c>
      <c r="J655">
        <v>0</v>
      </c>
      <c r="K655">
        <v>9.99</v>
      </c>
      <c r="L655" t="s">
        <v>1210</v>
      </c>
      <c r="M655" s="1">
        <v>44842</v>
      </c>
      <c r="N655">
        <f>YEAR(Raw_Data[[#This Row],[join_date_UK]])</f>
        <v>2022</v>
      </c>
    </row>
    <row r="656" spans="1:14" x14ac:dyDescent="0.3">
      <c r="A656" t="s">
        <v>1211</v>
      </c>
      <c r="B656" t="s">
        <v>19</v>
      </c>
      <c r="C656">
        <v>33</v>
      </c>
      <c r="D656" t="s">
        <v>30</v>
      </c>
      <c r="E656" t="s">
        <v>66</v>
      </c>
      <c r="F656">
        <v>11.4</v>
      </c>
      <c r="G656">
        <v>490</v>
      </c>
      <c r="H656">
        <v>0.1</v>
      </c>
      <c r="I656">
        <v>5</v>
      </c>
      <c r="J656">
        <v>0</v>
      </c>
      <c r="K656">
        <v>7.99</v>
      </c>
      <c r="L656" t="s">
        <v>1212</v>
      </c>
      <c r="M656" s="1">
        <v>45027</v>
      </c>
      <c r="N656">
        <f>YEAR(Raw_Data[[#This Row],[join_date_UK]])</f>
        <v>2023</v>
      </c>
    </row>
    <row r="657" spans="1:14" x14ac:dyDescent="0.3">
      <c r="A657" t="s">
        <v>15</v>
      </c>
      <c r="B657" t="s">
        <v>73</v>
      </c>
      <c r="C657">
        <v>61</v>
      </c>
      <c r="D657" t="s">
        <v>34</v>
      </c>
      <c r="E657" t="s">
        <v>66</v>
      </c>
      <c r="F657">
        <v>13.4</v>
      </c>
      <c r="G657">
        <v>512</v>
      </c>
      <c r="H657">
        <v>0.25</v>
      </c>
      <c r="I657">
        <v>5</v>
      </c>
      <c r="J657">
        <v>0</v>
      </c>
      <c r="L657" t="s">
        <v>1213</v>
      </c>
      <c r="M657" s="1">
        <v>44576</v>
      </c>
      <c r="N657">
        <f>YEAR(Raw_Data[[#This Row],[join_date_UK]])</f>
        <v>2022</v>
      </c>
    </row>
    <row r="658" spans="1:14" x14ac:dyDescent="0.3">
      <c r="A658" t="s">
        <v>1214</v>
      </c>
      <c r="B658" t="s">
        <v>19</v>
      </c>
      <c r="C658">
        <v>29</v>
      </c>
      <c r="D658" t="s">
        <v>34</v>
      </c>
      <c r="E658" t="s">
        <v>66</v>
      </c>
      <c r="F658">
        <v>14.2</v>
      </c>
      <c r="G658">
        <v>508</v>
      </c>
      <c r="H658">
        <v>0.1</v>
      </c>
      <c r="I658">
        <v>5</v>
      </c>
      <c r="J658">
        <v>0</v>
      </c>
      <c r="K658">
        <v>12.99</v>
      </c>
      <c r="L658" t="s">
        <v>577</v>
      </c>
      <c r="M658" s="1">
        <v>44754</v>
      </c>
      <c r="N658">
        <f>YEAR(Raw_Data[[#This Row],[join_date_UK]])</f>
        <v>2022</v>
      </c>
    </row>
    <row r="659" spans="1:14" x14ac:dyDescent="0.3">
      <c r="A659" t="s">
        <v>1215</v>
      </c>
      <c r="B659" t="s">
        <v>22</v>
      </c>
      <c r="C659">
        <v>62</v>
      </c>
      <c r="D659" t="s">
        <v>34</v>
      </c>
      <c r="E659" t="s">
        <v>66</v>
      </c>
      <c r="F659">
        <v>12.8</v>
      </c>
      <c r="G659">
        <v>459</v>
      </c>
      <c r="H659">
        <v>0.3</v>
      </c>
      <c r="I659">
        <v>5</v>
      </c>
      <c r="J659">
        <v>0</v>
      </c>
      <c r="K659">
        <v>9.99</v>
      </c>
      <c r="L659" t="s">
        <v>1216</v>
      </c>
      <c r="M659" s="1">
        <v>44829</v>
      </c>
      <c r="N659">
        <f>YEAR(Raw_Data[[#This Row],[join_date_UK]])</f>
        <v>2022</v>
      </c>
    </row>
    <row r="660" spans="1:14" x14ac:dyDescent="0.3">
      <c r="A660" t="s">
        <v>1217</v>
      </c>
      <c r="B660" t="s">
        <v>39</v>
      </c>
      <c r="C660">
        <v>21</v>
      </c>
      <c r="D660" t="s">
        <v>23</v>
      </c>
      <c r="E660" t="s">
        <v>66</v>
      </c>
      <c r="F660">
        <v>11.9</v>
      </c>
      <c r="G660">
        <v>487</v>
      </c>
      <c r="H660">
        <v>0.1</v>
      </c>
      <c r="I660">
        <v>5</v>
      </c>
      <c r="J660">
        <v>1</v>
      </c>
      <c r="K660">
        <v>9.99</v>
      </c>
      <c r="L660" t="s">
        <v>513</v>
      </c>
      <c r="M660" s="1">
        <v>45261</v>
      </c>
      <c r="N660">
        <f>YEAR(Raw_Data[[#This Row],[join_date_UK]])</f>
        <v>2023</v>
      </c>
    </row>
    <row r="661" spans="1:14" x14ac:dyDescent="0.3">
      <c r="A661" t="s">
        <v>1218</v>
      </c>
      <c r="B661" t="s">
        <v>39</v>
      </c>
      <c r="C661">
        <v>52</v>
      </c>
      <c r="D661" t="s">
        <v>34</v>
      </c>
      <c r="E661" t="s">
        <v>66</v>
      </c>
      <c r="F661">
        <v>5.9</v>
      </c>
      <c r="G661">
        <v>460</v>
      </c>
      <c r="H661">
        <v>0.05</v>
      </c>
      <c r="I661">
        <v>5</v>
      </c>
      <c r="J661">
        <v>0</v>
      </c>
      <c r="K661">
        <v>7.99</v>
      </c>
      <c r="L661" t="s">
        <v>1219</v>
      </c>
      <c r="M661" s="1">
        <v>45326</v>
      </c>
      <c r="N661">
        <f>YEAR(Raw_Data[[#This Row],[join_date_UK]])</f>
        <v>2024</v>
      </c>
    </row>
    <row r="662" spans="1:14" x14ac:dyDescent="0.3">
      <c r="A662" t="s">
        <v>1220</v>
      </c>
      <c r="B662" t="s">
        <v>19</v>
      </c>
      <c r="C662">
        <v>31</v>
      </c>
      <c r="D662" t="s">
        <v>34</v>
      </c>
      <c r="E662" t="s">
        <v>66</v>
      </c>
      <c r="F662">
        <v>5.0999999999999996</v>
      </c>
      <c r="G662">
        <v>495</v>
      </c>
      <c r="H662">
        <v>0.1</v>
      </c>
      <c r="I662">
        <v>5</v>
      </c>
      <c r="J662">
        <v>0</v>
      </c>
      <c r="K662">
        <v>5</v>
      </c>
      <c r="L662" t="s">
        <v>1221</v>
      </c>
      <c r="M662" s="1">
        <v>44904</v>
      </c>
      <c r="N662">
        <f>YEAR(Raw_Data[[#This Row],[join_date_UK]])</f>
        <v>2022</v>
      </c>
    </row>
    <row r="663" spans="1:14" x14ac:dyDescent="0.3">
      <c r="A663" t="s">
        <v>1222</v>
      </c>
      <c r="B663" t="s">
        <v>39</v>
      </c>
      <c r="C663">
        <v>60</v>
      </c>
      <c r="D663" t="s">
        <v>23</v>
      </c>
      <c r="E663" t="s">
        <v>66</v>
      </c>
      <c r="F663">
        <v>10.5</v>
      </c>
      <c r="G663">
        <v>487</v>
      </c>
      <c r="H663">
        <v>0.15</v>
      </c>
      <c r="I663">
        <v>5</v>
      </c>
      <c r="J663">
        <v>0</v>
      </c>
      <c r="K663">
        <v>7.99</v>
      </c>
      <c r="L663" t="s">
        <v>1223</v>
      </c>
      <c r="M663" s="1">
        <v>44642</v>
      </c>
      <c r="N663">
        <f>YEAR(Raw_Data[[#This Row],[join_date_UK]])</f>
        <v>2022</v>
      </c>
    </row>
    <row r="664" spans="1:14" x14ac:dyDescent="0.3">
      <c r="A664" t="s">
        <v>1224</v>
      </c>
      <c r="B664" t="s">
        <v>44</v>
      </c>
      <c r="C664">
        <v>43</v>
      </c>
      <c r="D664" t="s">
        <v>23</v>
      </c>
      <c r="E664" t="s">
        <v>66</v>
      </c>
      <c r="F664">
        <v>1.5</v>
      </c>
      <c r="G664">
        <v>520</v>
      </c>
      <c r="H664">
        <v>0.25</v>
      </c>
      <c r="I664">
        <v>5</v>
      </c>
      <c r="J664">
        <v>0</v>
      </c>
      <c r="K664">
        <v>12.99</v>
      </c>
      <c r="L664" t="s">
        <v>293</v>
      </c>
      <c r="M664" s="1">
        <v>45097</v>
      </c>
      <c r="N664">
        <f>YEAR(Raw_Data[[#This Row],[join_date_UK]])</f>
        <v>2023</v>
      </c>
    </row>
    <row r="665" spans="1:14" x14ac:dyDescent="0.3">
      <c r="A665" t="s">
        <v>1225</v>
      </c>
      <c r="B665" t="s">
        <v>39</v>
      </c>
      <c r="C665">
        <v>22</v>
      </c>
      <c r="D665" t="s">
        <v>23</v>
      </c>
      <c r="E665" t="s">
        <v>66</v>
      </c>
      <c r="F665">
        <v>2</v>
      </c>
      <c r="G665">
        <v>497</v>
      </c>
      <c r="H665">
        <v>0.25</v>
      </c>
      <c r="I665">
        <v>5</v>
      </c>
      <c r="J665">
        <v>0</v>
      </c>
      <c r="K665">
        <v>9.99</v>
      </c>
      <c r="L665" t="s">
        <v>828</v>
      </c>
      <c r="M665" s="1">
        <v>45267</v>
      </c>
      <c r="N665">
        <f>YEAR(Raw_Data[[#This Row],[join_date_UK]])</f>
        <v>2023</v>
      </c>
    </row>
    <row r="666" spans="1:14" x14ac:dyDescent="0.3">
      <c r="A666" t="s">
        <v>1226</v>
      </c>
      <c r="B666" t="s">
        <v>19</v>
      </c>
      <c r="C666">
        <v>32</v>
      </c>
      <c r="D666" t="s">
        <v>23</v>
      </c>
      <c r="E666" t="s">
        <v>66</v>
      </c>
      <c r="F666">
        <v>12.5</v>
      </c>
      <c r="G666">
        <v>492</v>
      </c>
      <c r="H666">
        <v>0.2</v>
      </c>
      <c r="I666">
        <v>5</v>
      </c>
      <c r="J666">
        <v>1</v>
      </c>
      <c r="L666" t="s">
        <v>1212</v>
      </c>
      <c r="M666" s="1">
        <v>45027</v>
      </c>
      <c r="N666">
        <f>YEAR(Raw_Data[[#This Row],[join_date_UK]])</f>
        <v>2023</v>
      </c>
    </row>
    <row r="667" spans="1:14" x14ac:dyDescent="0.3">
      <c r="A667" t="s">
        <v>1227</v>
      </c>
      <c r="B667" t="s">
        <v>19</v>
      </c>
      <c r="C667">
        <v>42</v>
      </c>
      <c r="D667" t="s">
        <v>15</v>
      </c>
      <c r="E667" t="s">
        <v>66</v>
      </c>
      <c r="F667">
        <v>11.1</v>
      </c>
      <c r="G667">
        <v>503</v>
      </c>
      <c r="H667">
        <v>0.3</v>
      </c>
      <c r="I667">
        <v>5</v>
      </c>
      <c r="J667">
        <v>0</v>
      </c>
      <c r="K667">
        <v>7.99</v>
      </c>
      <c r="L667" t="s">
        <v>1228</v>
      </c>
      <c r="M667" s="1">
        <v>44654</v>
      </c>
      <c r="N667">
        <f>YEAR(Raw_Data[[#This Row],[join_date_UK]])</f>
        <v>2022</v>
      </c>
    </row>
    <row r="668" spans="1:14" x14ac:dyDescent="0.3">
      <c r="A668" t="s">
        <v>1229</v>
      </c>
      <c r="B668" t="s">
        <v>26</v>
      </c>
      <c r="C668">
        <v>52</v>
      </c>
      <c r="D668" t="s">
        <v>23</v>
      </c>
      <c r="E668" t="s">
        <v>66</v>
      </c>
      <c r="F668">
        <v>9.5</v>
      </c>
      <c r="G668">
        <v>513</v>
      </c>
      <c r="H668">
        <v>0.05</v>
      </c>
      <c r="I668">
        <v>5</v>
      </c>
      <c r="J668">
        <v>0</v>
      </c>
      <c r="K668">
        <v>9.99</v>
      </c>
      <c r="L668" t="s">
        <v>74</v>
      </c>
      <c r="M668" s="1">
        <v>45173</v>
      </c>
      <c r="N668">
        <f>YEAR(Raw_Data[[#This Row],[join_date_UK]])</f>
        <v>2023</v>
      </c>
    </row>
    <row r="669" spans="1:14" x14ac:dyDescent="0.3">
      <c r="A669" t="s">
        <v>1230</v>
      </c>
      <c r="B669" t="s">
        <v>44</v>
      </c>
      <c r="C669">
        <v>35</v>
      </c>
      <c r="D669" t="s">
        <v>23</v>
      </c>
      <c r="E669" t="s">
        <v>66</v>
      </c>
      <c r="F669">
        <v>3.4</v>
      </c>
      <c r="G669">
        <v>499</v>
      </c>
      <c r="H669">
        <v>0.1</v>
      </c>
      <c r="I669">
        <v>5</v>
      </c>
      <c r="J669">
        <v>0</v>
      </c>
      <c r="L669" t="s">
        <v>1231</v>
      </c>
      <c r="M669" s="1">
        <v>45019</v>
      </c>
      <c r="N669">
        <f>YEAR(Raw_Data[[#This Row],[join_date_UK]])</f>
        <v>2023</v>
      </c>
    </row>
    <row r="670" spans="1:14" x14ac:dyDescent="0.3">
      <c r="A670" t="s">
        <v>1232</v>
      </c>
      <c r="B670" t="s">
        <v>26</v>
      </c>
      <c r="C670">
        <v>17</v>
      </c>
      <c r="D670" t="s">
        <v>23</v>
      </c>
      <c r="E670" t="s">
        <v>66</v>
      </c>
      <c r="F670">
        <v>13.7</v>
      </c>
      <c r="G670">
        <v>499</v>
      </c>
      <c r="H670">
        <v>0.3</v>
      </c>
      <c r="I670">
        <v>5</v>
      </c>
      <c r="J670">
        <v>1</v>
      </c>
      <c r="K670">
        <v>12.99</v>
      </c>
      <c r="L670" t="s">
        <v>968</v>
      </c>
      <c r="M670" s="1">
        <v>45167</v>
      </c>
      <c r="N670">
        <f>YEAR(Raw_Data[[#This Row],[join_date_UK]])</f>
        <v>2023</v>
      </c>
    </row>
    <row r="671" spans="1:14" x14ac:dyDescent="0.3">
      <c r="A671" t="s">
        <v>1233</v>
      </c>
      <c r="B671" t="s">
        <v>33</v>
      </c>
      <c r="C671">
        <v>32</v>
      </c>
      <c r="D671" t="s">
        <v>34</v>
      </c>
      <c r="E671" t="s">
        <v>66</v>
      </c>
      <c r="F671">
        <v>13.1</v>
      </c>
      <c r="G671">
        <v>561</v>
      </c>
      <c r="H671">
        <v>0.3</v>
      </c>
      <c r="I671">
        <v>5</v>
      </c>
      <c r="J671">
        <v>0</v>
      </c>
      <c r="K671">
        <v>9.99</v>
      </c>
      <c r="L671" t="s">
        <v>317</v>
      </c>
      <c r="M671" s="1">
        <v>44980</v>
      </c>
      <c r="N671">
        <f>YEAR(Raw_Data[[#This Row],[join_date_UK]])</f>
        <v>2023</v>
      </c>
    </row>
    <row r="672" spans="1:14" x14ac:dyDescent="0.3">
      <c r="A672" t="s">
        <v>1234</v>
      </c>
      <c r="B672" t="s">
        <v>39</v>
      </c>
      <c r="C672">
        <v>34</v>
      </c>
      <c r="D672" t="s">
        <v>23</v>
      </c>
      <c r="E672" t="s">
        <v>66</v>
      </c>
      <c r="F672">
        <v>9.1</v>
      </c>
      <c r="G672">
        <v>484</v>
      </c>
      <c r="H672">
        <v>0.1</v>
      </c>
      <c r="I672">
        <v>5</v>
      </c>
      <c r="J672">
        <v>1</v>
      </c>
      <c r="K672">
        <v>5</v>
      </c>
      <c r="L672" t="s">
        <v>972</v>
      </c>
      <c r="M672" s="1">
        <v>45464</v>
      </c>
      <c r="N672">
        <f>YEAR(Raw_Data[[#This Row],[join_date_UK]])</f>
        <v>2024</v>
      </c>
    </row>
    <row r="673" spans="1:14" x14ac:dyDescent="0.3">
      <c r="A673" t="s">
        <v>1235</v>
      </c>
      <c r="B673" t="s">
        <v>19</v>
      </c>
      <c r="C673">
        <v>56</v>
      </c>
      <c r="D673" t="s">
        <v>15</v>
      </c>
      <c r="E673" t="s">
        <v>66</v>
      </c>
      <c r="F673">
        <v>11.1</v>
      </c>
      <c r="G673">
        <v>556</v>
      </c>
      <c r="H673">
        <v>0.2</v>
      </c>
      <c r="I673">
        <v>5</v>
      </c>
      <c r="J673">
        <v>0</v>
      </c>
      <c r="K673">
        <v>7.99</v>
      </c>
      <c r="L673" t="s">
        <v>1236</v>
      </c>
      <c r="M673" s="1">
        <v>44869</v>
      </c>
      <c r="N673">
        <f>YEAR(Raw_Data[[#This Row],[join_date_UK]])</f>
        <v>2022</v>
      </c>
    </row>
    <row r="674" spans="1:14" x14ac:dyDescent="0.3">
      <c r="A674" t="s">
        <v>1237</v>
      </c>
      <c r="B674" t="s">
        <v>39</v>
      </c>
      <c r="C674">
        <v>60</v>
      </c>
      <c r="D674" t="s">
        <v>23</v>
      </c>
      <c r="E674" t="s">
        <v>66</v>
      </c>
      <c r="F674">
        <v>13.6</v>
      </c>
      <c r="G674">
        <v>513</v>
      </c>
      <c r="H674">
        <v>0.15</v>
      </c>
      <c r="I674">
        <v>5</v>
      </c>
      <c r="J674">
        <v>0</v>
      </c>
      <c r="K674">
        <v>9.99</v>
      </c>
      <c r="L674" t="s">
        <v>1238</v>
      </c>
      <c r="M674" s="1">
        <v>45098</v>
      </c>
      <c r="N674">
        <f>YEAR(Raw_Data[[#This Row],[join_date_UK]])</f>
        <v>2023</v>
      </c>
    </row>
    <row r="675" spans="1:14" x14ac:dyDescent="0.3">
      <c r="A675" t="s">
        <v>1239</v>
      </c>
      <c r="B675" t="s">
        <v>19</v>
      </c>
      <c r="C675">
        <v>53</v>
      </c>
      <c r="D675" t="s">
        <v>30</v>
      </c>
      <c r="E675" t="s">
        <v>94</v>
      </c>
      <c r="F675">
        <v>6.8</v>
      </c>
      <c r="G675">
        <v>469</v>
      </c>
      <c r="H675">
        <v>0.15</v>
      </c>
      <c r="I675">
        <v>5</v>
      </c>
      <c r="J675">
        <v>0</v>
      </c>
      <c r="K675">
        <v>5</v>
      </c>
      <c r="L675" t="s">
        <v>1240</v>
      </c>
      <c r="M675" s="1">
        <v>44617</v>
      </c>
      <c r="N675">
        <f>YEAR(Raw_Data[[#This Row],[join_date_UK]])</f>
        <v>2022</v>
      </c>
    </row>
    <row r="676" spans="1:14" x14ac:dyDescent="0.3">
      <c r="A676" t="s">
        <v>1241</v>
      </c>
      <c r="B676" t="s">
        <v>39</v>
      </c>
      <c r="C676">
        <v>35</v>
      </c>
      <c r="D676" t="s">
        <v>30</v>
      </c>
      <c r="E676" t="s">
        <v>94</v>
      </c>
      <c r="F676">
        <v>11.3</v>
      </c>
      <c r="G676">
        <v>481</v>
      </c>
      <c r="H676">
        <v>0.3</v>
      </c>
      <c r="I676">
        <v>5</v>
      </c>
      <c r="J676">
        <v>0</v>
      </c>
      <c r="K676">
        <v>9.99</v>
      </c>
      <c r="L676" t="s">
        <v>1242</v>
      </c>
      <c r="M676" s="1">
        <v>45163</v>
      </c>
      <c r="N676">
        <f>YEAR(Raw_Data[[#This Row],[join_date_UK]])</f>
        <v>2023</v>
      </c>
    </row>
    <row r="677" spans="1:14" x14ac:dyDescent="0.3">
      <c r="A677" t="s">
        <v>1243</v>
      </c>
      <c r="B677" t="s">
        <v>39</v>
      </c>
      <c r="C677">
        <v>45</v>
      </c>
      <c r="D677" t="s">
        <v>30</v>
      </c>
      <c r="E677" t="s">
        <v>94</v>
      </c>
      <c r="F677">
        <v>11.4</v>
      </c>
      <c r="G677">
        <v>475</v>
      </c>
      <c r="H677">
        <v>0.15</v>
      </c>
      <c r="I677">
        <v>5</v>
      </c>
      <c r="J677">
        <v>0</v>
      </c>
      <c r="K677">
        <v>12.99</v>
      </c>
      <c r="L677" t="s">
        <v>1244</v>
      </c>
      <c r="M677" s="1">
        <v>45194</v>
      </c>
      <c r="N677">
        <f>YEAR(Raw_Data[[#This Row],[join_date_UK]])</f>
        <v>2023</v>
      </c>
    </row>
    <row r="678" spans="1:14" x14ac:dyDescent="0.3">
      <c r="A678" t="s">
        <v>1245</v>
      </c>
      <c r="B678" t="s">
        <v>39</v>
      </c>
      <c r="C678">
        <v>45</v>
      </c>
      <c r="D678" t="s">
        <v>34</v>
      </c>
      <c r="E678" t="s">
        <v>94</v>
      </c>
      <c r="F678">
        <v>13.3</v>
      </c>
      <c r="G678">
        <v>472</v>
      </c>
      <c r="H678">
        <v>0.2</v>
      </c>
      <c r="I678">
        <v>5</v>
      </c>
      <c r="J678">
        <v>1</v>
      </c>
      <c r="K678">
        <v>9.99</v>
      </c>
      <c r="L678" t="s">
        <v>1246</v>
      </c>
      <c r="M678" s="1">
        <v>45457</v>
      </c>
      <c r="N678">
        <f>YEAR(Raw_Data[[#This Row],[join_date_UK]])</f>
        <v>2024</v>
      </c>
    </row>
    <row r="679" spans="1:14" x14ac:dyDescent="0.3">
      <c r="A679" t="s">
        <v>1247</v>
      </c>
      <c r="B679" t="s">
        <v>22</v>
      </c>
      <c r="C679">
        <v>18</v>
      </c>
      <c r="D679" t="s">
        <v>23</v>
      </c>
      <c r="E679" t="s">
        <v>94</v>
      </c>
      <c r="F679">
        <v>7.8</v>
      </c>
      <c r="G679">
        <v>477</v>
      </c>
      <c r="H679">
        <v>0.1</v>
      </c>
      <c r="I679">
        <v>5</v>
      </c>
      <c r="J679">
        <v>1</v>
      </c>
      <c r="K679">
        <v>7.99</v>
      </c>
      <c r="L679" t="s">
        <v>1248</v>
      </c>
      <c r="M679" s="1">
        <v>44929</v>
      </c>
      <c r="N679">
        <f>YEAR(Raw_Data[[#This Row],[join_date_UK]])</f>
        <v>2023</v>
      </c>
    </row>
    <row r="680" spans="1:14" x14ac:dyDescent="0.3">
      <c r="A680" t="s">
        <v>1249</v>
      </c>
      <c r="B680" t="s">
        <v>39</v>
      </c>
      <c r="C680">
        <v>25</v>
      </c>
      <c r="D680" t="s">
        <v>34</v>
      </c>
      <c r="E680" t="s">
        <v>94</v>
      </c>
      <c r="F680">
        <v>4</v>
      </c>
      <c r="G680">
        <v>484</v>
      </c>
      <c r="H680">
        <v>0.1</v>
      </c>
      <c r="I680">
        <v>5</v>
      </c>
      <c r="J680">
        <v>0</v>
      </c>
      <c r="K680">
        <v>5</v>
      </c>
      <c r="L680" t="s">
        <v>1250</v>
      </c>
      <c r="M680" s="1">
        <v>44705</v>
      </c>
      <c r="N680">
        <f>YEAR(Raw_Data[[#This Row],[join_date_UK]])</f>
        <v>2022</v>
      </c>
    </row>
    <row r="681" spans="1:14" x14ac:dyDescent="0.3">
      <c r="A681" t="s">
        <v>1251</v>
      </c>
      <c r="B681" t="s">
        <v>29</v>
      </c>
      <c r="C681">
        <v>64</v>
      </c>
      <c r="D681" t="s">
        <v>34</v>
      </c>
      <c r="E681" t="s">
        <v>94</v>
      </c>
      <c r="F681">
        <v>7.6</v>
      </c>
      <c r="G681">
        <v>440</v>
      </c>
      <c r="H681">
        <v>0.1</v>
      </c>
      <c r="I681">
        <v>5</v>
      </c>
      <c r="J681">
        <v>0</v>
      </c>
      <c r="K681">
        <v>7.99</v>
      </c>
      <c r="L681" t="s">
        <v>1252</v>
      </c>
      <c r="M681" s="1">
        <v>44809</v>
      </c>
      <c r="N681">
        <f>YEAR(Raw_Data[[#This Row],[join_date_UK]])</f>
        <v>2022</v>
      </c>
    </row>
    <row r="682" spans="1:14" x14ac:dyDescent="0.3">
      <c r="A682" t="s">
        <v>1253</v>
      </c>
      <c r="B682" t="s">
        <v>26</v>
      </c>
      <c r="C682">
        <v>25</v>
      </c>
      <c r="D682" t="s">
        <v>34</v>
      </c>
      <c r="E682" t="s">
        <v>94</v>
      </c>
      <c r="F682">
        <v>12.7</v>
      </c>
      <c r="G682">
        <v>467</v>
      </c>
      <c r="H682">
        <v>0.2</v>
      </c>
      <c r="I682">
        <v>5</v>
      </c>
      <c r="J682">
        <v>0</v>
      </c>
      <c r="K682">
        <v>7.99</v>
      </c>
      <c r="L682" t="s">
        <v>1254</v>
      </c>
      <c r="M682" s="1">
        <v>45288</v>
      </c>
      <c r="N682">
        <f>YEAR(Raw_Data[[#This Row],[join_date_UK]])</f>
        <v>2023</v>
      </c>
    </row>
    <row r="683" spans="1:14" x14ac:dyDescent="0.3">
      <c r="A683" t="s">
        <v>1255</v>
      </c>
      <c r="B683" t="s">
        <v>73</v>
      </c>
      <c r="C683">
        <v>49</v>
      </c>
      <c r="D683" t="s">
        <v>23</v>
      </c>
      <c r="E683" t="s">
        <v>94</v>
      </c>
      <c r="F683">
        <v>10.4</v>
      </c>
      <c r="G683">
        <v>457</v>
      </c>
      <c r="H683">
        <v>0.2</v>
      </c>
      <c r="I683">
        <v>5</v>
      </c>
      <c r="J683">
        <v>0</v>
      </c>
      <c r="K683">
        <v>9.99</v>
      </c>
      <c r="L683" t="s">
        <v>1236</v>
      </c>
      <c r="M683" s="1">
        <v>44869</v>
      </c>
      <c r="N683">
        <f>YEAR(Raw_Data[[#This Row],[join_date_UK]])</f>
        <v>2022</v>
      </c>
    </row>
    <row r="684" spans="1:14" x14ac:dyDescent="0.3">
      <c r="A684" t="s">
        <v>1256</v>
      </c>
      <c r="B684" t="s">
        <v>26</v>
      </c>
      <c r="C684">
        <v>29</v>
      </c>
      <c r="D684" t="s">
        <v>34</v>
      </c>
      <c r="E684" t="s">
        <v>94</v>
      </c>
      <c r="F684">
        <v>15.8</v>
      </c>
      <c r="G684">
        <v>481</v>
      </c>
      <c r="H684">
        <v>0.2</v>
      </c>
      <c r="I684">
        <v>5</v>
      </c>
      <c r="J684">
        <v>0</v>
      </c>
      <c r="K684">
        <v>5</v>
      </c>
      <c r="L684" t="s">
        <v>1257</v>
      </c>
      <c r="M684" s="1">
        <v>45521</v>
      </c>
      <c r="N684">
        <f>YEAR(Raw_Data[[#This Row],[join_date_UK]])</f>
        <v>2024</v>
      </c>
    </row>
    <row r="685" spans="1:14" x14ac:dyDescent="0.3">
      <c r="A685" t="s">
        <v>1258</v>
      </c>
      <c r="B685" t="s">
        <v>19</v>
      </c>
      <c r="C685">
        <v>32</v>
      </c>
      <c r="D685" t="s">
        <v>34</v>
      </c>
      <c r="E685" t="s">
        <v>94</v>
      </c>
      <c r="F685">
        <v>6</v>
      </c>
      <c r="G685">
        <v>513</v>
      </c>
      <c r="H685">
        <v>0.25</v>
      </c>
      <c r="I685">
        <v>5</v>
      </c>
      <c r="J685">
        <v>0</v>
      </c>
      <c r="K685">
        <v>5</v>
      </c>
      <c r="L685" t="s">
        <v>76</v>
      </c>
      <c r="M685" s="1">
        <v>45531</v>
      </c>
      <c r="N685">
        <f>YEAR(Raw_Data[[#This Row],[join_date_UK]])</f>
        <v>2024</v>
      </c>
    </row>
    <row r="686" spans="1:14" x14ac:dyDescent="0.3">
      <c r="A686" t="s">
        <v>1259</v>
      </c>
      <c r="B686" t="s">
        <v>39</v>
      </c>
      <c r="C686">
        <v>64</v>
      </c>
      <c r="D686" t="s">
        <v>23</v>
      </c>
      <c r="E686" t="s">
        <v>94</v>
      </c>
      <c r="F686">
        <v>11</v>
      </c>
      <c r="G686">
        <v>505</v>
      </c>
      <c r="H686">
        <v>0.15</v>
      </c>
      <c r="I686">
        <v>5</v>
      </c>
      <c r="J686">
        <v>0</v>
      </c>
      <c r="K686">
        <v>9.99</v>
      </c>
      <c r="L686" t="s">
        <v>1260</v>
      </c>
      <c r="M686" s="1">
        <v>44579</v>
      </c>
      <c r="N686">
        <f>YEAR(Raw_Data[[#This Row],[join_date_UK]])</f>
        <v>2022</v>
      </c>
    </row>
    <row r="687" spans="1:14" x14ac:dyDescent="0.3">
      <c r="A687" t="s">
        <v>1261</v>
      </c>
      <c r="B687" t="s">
        <v>26</v>
      </c>
      <c r="C687">
        <v>17</v>
      </c>
      <c r="D687" t="s">
        <v>30</v>
      </c>
      <c r="E687" t="s">
        <v>94</v>
      </c>
      <c r="F687">
        <v>17.399999999999999</v>
      </c>
      <c r="G687">
        <v>475</v>
      </c>
      <c r="H687">
        <v>0.25</v>
      </c>
      <c r="I687">
        <v>5</v>
      </c>
      <c r="J687">
        <v>0</v>
      </c>
      <c r="K687">
        <v>7.99</v>
      </c>
      <c r="L687" t="s">
        <v>1262</v>
      </c>
      <c r="M687" s="1">
        <v>44644</v>
      </c>
      <c r="N687">
        <f>YEAR(Raw_Data[[#This Row],[join_date_UK]])</f>
        <v>2022</v>
      </c>
    </row>
    <row r="688" spans="1:14" x14ac:dyDescent="0.3">
      <c r="A688" t="s">
        <v>1263</v>
      </c>
      <c r="B688" t="s">
        <v>39</v>
      </c>
      <c r="C688">
        <v>18</v>
      </c>
      <c r="D688" t="s">
        <v>34</v>
      </c>
      <c r="E688" t="s">
        <v>94</v>
      </c>
      <c r="F688">
        <v>14.2</v>
      </c>
      <c r="G688">
        <v>504</v>
      </c>
      <c r="H688">
        <v>0.2</v>
      </c>
      <c r="I688">
        <v>5</v>
      </c>
      <c r="J688">
        <v>0</v>
      </c>
      <c r="K688">
        <v>9.99</v>
      </c>
      <c r="L688" t="s">
        <v>1264</v>
      </c>
      <c r="M688" s="1">
        <v>44662</v>
      </c>
      <c r="N688">
        <f>YEAR(Raw_Data[[#This Row],[join_date_UK]])</f>
        <v>2022</v>
      </c>
    </row>
    <row r="689" spans="1:19" x14ac:dyDescent="0.3">
      <c r="A689" t="s">
        <v>1265</v>
      </c>
      <c r="B689" t="s">
        <v>44</v>
      </c>
      <c r="C689">
        <v>31</v>
      </c>
      <c r="D689" t="s">
        <v>30</v>
      </c>
      <c r="E689" t="s">
        <v>94</v>
      </c>
      <c r="F689">
        <v>16.2</v>
      </c>
      <c r="G689">
        <v>508</v>
      </c>
      <c r="H689">
        <v>0.05</v>
      </c>
      <c r="I689">
        <v>5</v>
      </c>
      <c r="J689">
        <v>0</v>
      </c>
      <c r="K689">
        <v>5</v>
      </c>
      <c r="L689" t="s">
        <v>1266</v>
      </c>
      <c r="M689" s="1">
        <v>44827</v>
      </c>
      <c r="N689">
        <f>YEAR(Raw_Data[[#This Row],[join_date_UK]])</f>
        <v>2022</v>
      </c>
    </row>
    <row r="690" spans="1:19" x14ac:dyDescent="0.3">
      <c r="A690" t="s">
        <v>1267</v>
      </c>
      <c r="B690" t="s">
        <v>14</v>
      </c>
      <c r="C690">
        <v>42</v>
      </c>
      <c r="D690" t="s">
        <v>23</v>
      </c>
      <c r="E690" t="s">
        <v>94</v>
      </c>
      <c r="F690">
        <v>13</v>
      </c>
      <c r="G690">
        <v>483</v>
      </c>
      <c r="H690">
        <v>0.2</v>
      </c>
      <c r="I690">
        <v>5</v>
      </c>
      <c r="J690">
        <v>0</v>
      </c>
      <c r="K690">
        <v>7.99</v>
      </c>
      <c r="L690" t="s">
        <v>116</v>
      </c>
      <c r="M690" s="1">
        <v>44818</v>
      </c>
      <c r="N690">
        <f>YEAR(Raw_Data[[#This Row],[join_date_UK]])</f>
        <v>2022</v>
      </c>
    </row>
    <row r="691" spans="1:19" x14ac:dyDescent="0.3">
      <c r="A691" t="s">
        <v>1268</v>
      </c>
      <c r="B691" t="s">
        <v>39</v>
      </c>
      <c r="C691">
        <v>37</v>
      </c>
      <c r="D691" t="s">
        <v>34</v>
      </c>
      <c r="E691" t="s">
        <v>94</v>
      </c>
      <c r="F691">
        <v>6.5</v>
      </c>
      <c r="G691">
        <v>494</v>
      </c>
      <c r="H691">
        <v>0.1</v>
      </c>
      <c r="I691">
        <v>5</v>
      </c>
      <c r="J691">
        <v>0</v>
      </c>
      <c r="L691" t="s">
        <v>1269</v>
      </c>
      <c r="M691" s="1">
        <v>44726</v>
      </c>
      <c r="N691">
        <f>YEAR(Raw_Data[[#This Row],[join_date_UK]])</f>
        <v>2022</v>
      </c>
    </row>
    <row r="692" spans="1:19" x14ac:dyDescent="0.3">
      <c r="A692" t="s">
        <v>1270</v>
      </c>
      <c r="B692" t="s">
        <v>19</v>
      </c>
      <c r="C692">
        <v>49</v>
      </c>
      <c r="D692" t="s">
        <v>23</v>
      </c>
      <c r="E692" t="s">
        <v>94</v>
      </c>
      <c r="F692">
        <v>7.2</v>
      </c>
      <c r="G692">
        <v>451</v>
      </c>
      <c r="H692">
        <v>0.15</v>
      </c>
      <c r="I692">
        <v>5</v>
      </c>
      <c r="J692">
        <v>0</v>
      </c>
      <c r="K692">
        <v>9.99</v>
      </c>
      <c r="L692" t="s">
        <v>1271</v>
      </c>
      <c r="M692" s="1">
        <v>45033</v>
      </c>
      <c r="N692">
        <f>YEAR(Raw_Data[[#This Row],[join_date_UK]])</f>
        <v>2023</v>
      </c>
    </row>
    <row r="693" spans="1:19" x14ac:dyDescent="0.3">
      <c r="A693" t="s">
        <v>1272</v>
      </c>
      <c r="B693" t="s">
        <v>73</v>
      </c>
      <c r="C693">
        <v>26</v>
      </c>
      <c r="D693" t="s">
        <v>15</v>
      </c>
      <c r="E693" t="s">
        <v>94</v>
      </c>
      <c r="F693">
        <v>15.7</v>
      </c>
      <c r="G693">
        <v>507</v>
      </c>
      <c r="H693">
        <v>0.2</v>
      </c>
      <c r="I693">
        <v>5</v>
      </c>
      <c r="J693">
        <v>1</v>
      </c>
      <c r="K693">
        <v>9.99</v>
      </c>
      <c r="L693" t="s">
        <v>849</v>
      </c>
      <c r="M693" s="1">
        <v>44872</v>
      </c>
      <c r="N693">
        <f>YEAR(Raw_Data[[#This Row],[join_date_UK]])</f>
        <v>2022</v>
      </c>
    </row>
    <row r="694" spans="1:19" x14ac:dyDescent="0.3">
      <c r="A694" t="s">
        <v>1273</v>
      </c>
      <c r="B694" t="s">
        <v>29</v>
      </c>
      <c r="C694">
        <v>23</v>
      </c>
      <c r="D694" t="s">
        <v>23</v>
      </c>
      <c r="E694" t="s">
        <v>94</v>
      </c>
      <c r="F694">
        <v>12.7</v>
      </c>
      <c r="G694">
        <v>539</v>
      </c>
      <c r="H694">
        <v>0.15</v>
      </c>
      <c r="I694">
        <v>5</v>
      </c>
      <c r="J694">
        <v>0</v>
      </c>
      <c r="K694">
        <v>9.99</v>
      </c>
      <c r="L694" t="s">
        <v>62</v>
      </c>
      <c r="M694" s="1">
        <v>45480</v>
      </c>
      <c r="N694">
        <f>YEAR(Raw_Data[[#This Row],[join_date_UK]])</f>
        <v>2024</v>
      </c>
    </row>
    <row r="695" spans="1:19" x14ac:dyDescent="0.3">
      <c r="A695" t="s">
        <v>1274</v>
      </c>
      <c r="B695" t="s">
        <v>19</v>
      </c>
      <c r="C695">
        <v>43</v>
      </c>
      <c r="D695" t="s">
        <v>15</v>
      </c>
      <c r="E695" t="s">
        <v>94</v>
      </c>
      <c r="F695">
        <v>20.100000000000001</v>
      </c>
      <c r="G695">
        <v>457</v>
      </c>
      <c r="H695">
        <v>0.2</v>
      </c>
      <c r="I695">
        <v>5</v>
      </c>
      <c r="J695">
        <v>1</v>
      </c>
      <c r="K695">
        <v>7.99</v>
      </c>
      <c r="L695" t="s">
        <v>1275</v>
      </c>
      <c r="M695" s="1">
        <v>44634</v>
      </c>
      <c r="N695">
        <f>YEAR(Raw_Data[[#This Row],[join_date_UK]])</f>
        <v>2022</v>
      </c>
    </row>
    <row r="696" spans="1:19" x14ac:dyDescent="0.3">
      <c r="A696" t="s">
        <v>1276</v>
      </c>
      <c r="B696" t="s">
        <v>22</v>
      </c>
      <c r="C696">
        <v>40</v>
      </c>
      <c r="D696" t="s">
        <v>34</v>
      </c>
      <c r="E696" t="s">
        <v>94</v>
      </c>
      <c r="F696">
        <v>9.8000000000000007</v>
      </c>
      <c r="G696">
        <v>460</v>
      </c>
      <c r="H696">
        <v>0.1</v>
      </c>
      <c r="I696">
        <v>5</v>
      </c>
      <c r="J696">
        <v>0</v>
      </c>
      <c r="K696">
        <v>12.99</v>
      </c>
      <c r="L696" t="s">
        <v>1277</v>
      </c>
      <c r="M696" s="1">
        <v>45355</v>
      </c>
      <c r="N696">
        <f>YEAR(Raw_Data[[#This Row],[join_date_UK]])</f>
        <v>2024</v>
      </c>
    </row>
    <row r="697" spans="1:19" x14ac:dyDescent="0.3">
      <c r="A697" t="s">
        <v>1278</v>
      </c>
      <c r="B697" t="s">
        <v>44</v>
      </c>
      <c r="C697">
        <v>60</v>
      </c>
      <c r="D697" t="s">
        <v>15</v>
      </c>
      <c r="E697" t="s">
        <v>94</v>
      </c>
      <c r="F697">
        <v>14.1</v>
      </c>
      <c r="G697">
        <v>507</v>
      </c>
      <c r="H697">
        <v>0.2</v>
      </c>
      <c r="I697">
        <v>5</v>
      </c>
      <c r="J697">
        <v>0</v>
      </c>
      <c r="K697">
        <v>7.99</v>
      </c>
      <c r="L697" t="s">
        <v>1279</v>
      </c>
      <c r="M697" s="1">
        <v>45489</v>
      </c>
      <c r="N697">
        <f>YEAR(Raw_Data[[#This Row],[join_date_UK]])</f>
        <v>2024</v>
      </c>
    </row>
    <row r="698" spans="1:19" x14ac:dyDescent="0.3">
      <c r="A698" t="s">
        <v>1280</v>
      </c>
      <c r="B698" t="s">
        <v>39</v>
      </c>
      <c r="C698">
        <v>61</v>
      </c>
      <c r="D698" t="s">
        <v>23</v>
      </c>
      <c r="E698" t="s">
        <v>94</v>
      </c>
      <c r="F698">
        <v>3.1</v>
      </c>
      <c r="G698">
        <v>504</v>
      </c>
      <c r="H698">
        <v>0.25</v>
      </c>
      <c r="I698">
        <v>5</v>
      </c>
      <c r="J698">
        <v>0</v>
      </c>
      <c r="K698">
        <v>9.99</v>
      </c>
      <c r="L698" t="s">
        <v>1281</v>
      </c>
      <c r="M698" s="1">
        <v>45524</v>
      </c>
      <c r="N698">
        <f>YEAR(Raw_Data[[#This Row],[join_date_UK]])</f>
        <v>2024</v>
      </c>
    </row>
    <row r="699" spans="1:19" x14ac:dyDescent="0.3">
      <c r="A699" t="s">
        <v>1282</v>
      </c>
      <c r="B699" t="s">
        <v>39</v>
      </c>
      <c r="C699">
        <v>23</v>
      </c>
      <c r="D699" t="s">
        <v>23</v>
      </c>
      <c r="E699" t="s">
        <v>94</v>
      </c>
      <c r="F699">
        <v>2.8</v>
      </c>
      <c r="G699">
        <v>516</v>
      </c>
      <c r="H699">
        <v>0.1</v>
      </c>
      <c r="I699">
        <v>5</v>
      </c>
      <c r="J699">
        <v>0</v>
      </c>
      <c r="K699">
        <v>9.99</v>
      </c>
      <c r="L699" t="s">
        <v>1283</v>
      </c>
      <c r="M699" s="1">
        <v>44625</v>
      </c>
      <c r="N699">
        <f>YEAR(Raw_Data[[#This Row],[join_date_UK]])</f>
        <v>2022</v>
      </c>
    </row>
    <row r="700" spans="1:19" x14ac:dyDescent="0.3">
      <c r="A700" t="s">
        <v>1284</v>
      </c>
      <c r="B700" t="s">
        <v>26</v>
      </c>
      <c r="C700">
        <v>46</v>
      </c>
      <c r="D700" t="s">
        <v>34</v>
      </c>
      <c r="E700" t="s">
        <v>94</v>
      </c>
      <c r="F700">
        <v>11.2</v>
      </c>
      <c r="G700">
        <v>509</v>
      </c>
      <c r="H700">
        <v>0.2</v>
      </c>
      <c r="I700">
        <v>5</v>
      </c>
      <c r="J700">
        <v>1</v>
      </c>
      <c r="K700">
        <v>9.99</v>
      </c>
      <c r="L700" t="s">
        <v>1285</v>
      </c>
      <c r="M700" s="1">
        <v>44972</v>
      </c>
      <c r="N700">
        <f>YEAR(Raw_Data[[#This Row],[join_date_UK]])</f>
        <v>2023</v>
      </c>
    </row>
    <row r="701" spans="1:19" ht="28.8" x14ac:dyDescent="0.3">
      <c r="A701" t="s">
        <v>1286</v>
      </c>
      <c r="B701" t="s">
        <v>29</v>
      </c>
      <c r="C701">
        <v>33</v>
      </c>
      <c r="D701" t="s">
        <v>23</v>
      </c>
      <c r="E701" t="s">
        <v>94</v>
      </c>
      <c r="F701">
        <v>6.5</v>
      </c>
      <c r="G701">
        <v>499</v>
      </c>
      <c r="H701">
        <v>0.1</v>
      </c>
      <c r="I701">
        <v>5</v>
      </c>
      <c r="J701">
        <v>0</v>
      </c>
      <c r="K701">
        <v>12.99</v>
      </c>
      <c r="L701" t="s">
        <v>1007</v>
      </c>
      <c r="M701" s="1">
        <v>45212</v>
      </c>
      <c r="N701">
        <f>YEAR(Raw_Data[[#This Row],[join_date_UK]])</f>
        <v>2023</v>
      </c>
      <c r="O701" s="3" t="s">
        <v>1291</v>
      </c>
      <c r="P701">
        <f>COUNTA(Raw_Data[user_id])</f>
        <v>700</v>
      </c>
      <c r="R701" s="2" t="s">
        <v>1312</v>
      </c>
      <c r="S701">
        <f>SUMIF(Raw_Data[subscription_type], "Free",Raw_Data[avg_listening_hours_per_week])</f>
        <v>1011.3999999999999</v>
      </c>
    </row>
    <row r="702" spans="1:19" ht="29.4" thickBot="1" x14ac:dyDescent="0.35">
      <c r="M702" s="1"/>
      <c r="O702" s="3" t="s">
        <v>1287</v>
      </c>
      <c r="P702">
        <f>COUNTIF(Raw_Data[monthly_fee], "")</f>
        <v>115</v>
      </c>
      <c r="R702" s="2" t="s">
        <v>1313</v>
      </c>
      <c r="S702">
        <f>SUMIF(Raw_Data[subscription_type], "Student",Raw_Data[avg_listening_hours_per_week])</f>
        <v>2123.5000000000009</v>
      </c>
    </row>
    <row r="703" spans="1:19" ht="29.4" thickTop="1" x14ac:dyDescent="0.3">
      <c r="O703" s="2" t="s">
        <v>1288</v>
      </c>
      <c r="P703" s="4">
        <f>COUNTIFS(Raw_Data[monthly_fee], "",Raw_Data[churned], 0)</f>
        <v>76</v>
      </c>
      <c r="R703" s="2" t="s">
        <v>1311</v>
      </c>
      <c r="S703">
        <f>SUMIF(Raw_Data[subscription_type], "Family",Raw_Data[avg_listening_hours_per_week])</f>
        <v>2055.6000000000004</v>
      </c>
    </row>
    <row r="704" spans="1:19" ht="28.8" x14ac:dyDescent="0.3">
      <c r="R704" s="2" t="s">
        <v>1314</v>
      </c>
      <c r="S704">
        <f>SUMIF(Raw_Data[subscription_type], "Premium",Raw_Data[avg_listening_hours_per_week])</f>
        <v>1827.1999999999991</v>
      </c>
    </row>
    <row r="705" spans="15:19" x14ac:dyDescent="0.3">
      <c r="O705" s="3" t="s">
        <v>1289</v>
      </c>
      <c r="P705">
        <f>COUNTIF(Raw_Data[churned], "0")</f>
        <v>486</v>
      </c>
      <c r="R705" s="2" t="s">
        <v>1315</v>
      </c>
      <c r="S705">
        <f>SUM(S701:S704)</f>
        <v>7017.7</v>
      </c>
    </row>
    <row r="706" spans="15:19" x14ac:dyDescent="0.3">
      <c r="O706" s="3" t="s">
        <v>1290</v>
      </c>
      <c r="P706">
        <f>COUNTIF(Raw_Data[churned], "1")</f>
        <v>214</v>
      </c>
    </row>
    <row r="707" spans="15:19" x14ac:dyDescent="0.3">
      <c r="O707" s="3" t="s">
        <v>1292</v>
      </c>
      <c r="P707" s="5">
        <f>$P$706/$P$701</f>
        <v>0.30571428571428572</v>
      </c>
    </row>
    <row r="708" spans="15:19" x14ac:dyDescent="0.3">
      <c r="O708" s="3" t="s">
        <v>1293</v>
      </c>
      <c r="P708">
        <f>AVERAGE(Raw_Data[satisfaction_score])</f>
        <v>3.1402439024390243</v>
      </c>
    </row>
    <row r="710" spans="15:19" ht="15" thickBot="1" x14ac:dyDescent="0.35"/>
    <row r="711" spans="15:19" ht="15.6" thickTop="1" thickBot="1" x14ac:dyDescent="0.35">
      <c r="O711" s="3" t="s">
        <v>1295</v>
      </c>
      <c r="P711" s="4">
        <f>COUNTIFS(Raw_Data[subscription_type], "Free",Raw_Data[churned], 0)</f>
        <v>76</v>
      </c>
    </row>
    <row r="712" spans="15:19" ht="15.6" thickTop="1" thickBot="1" x14ac:dyDescent="0.35">
      <c r="O712" s="3" t="s">
        <v>1296</v>
      </c>
      <c r="P712" s="4">
        <f>COUNTIFS(Raw_Data[subscription_type], "Free",Raw_Data[churned], 1)</f>
        <v>26</v>
      </c>
    </row>
    <row r="713" spans="15:19" ht="15" thickTop="1" x14ac:dyDescent="0.3">
      <c r="O713" s="3" t="s">
        <v>1294</v>
      </c>
      <c r="P713" s="4">
        <f>COUNTIF(Raw_Data[subscription_type], "Free")</f>
        <v>102</v>
      </c>
    </row>
    <row r="714" spans="15:19" x14ac:dyDescent="0.3">
      <c r="O714" s="3" t="s">
        <v>1292</v>
      </c>
      <c r="P714" s="5">
        <f>$P$712/$P$713</f>
        <v>0.25490196078431371</v>
      </c>
    </row>
    <row r="715" spans="15:19" ht="15" thickBot="1" x14ac:dyDescent="0.35"/>
    <row r="716" spans="15:19" ht="15.6" thickTop="1" thickBot="1" x14ac:dyDescent="0.35">
      <c r="O716" s="3" t="s">
        <v>1297</v>
      </c>
      <c r="P716" s="4">
        <f>COUNTIFS(Raw_Data[subscription_type], "Student",Raw_Data[churned], 0)</f>
        <v>142</v>
      </c>
    </row>
    <row r="717" spans="15:19" ht="15.6" thickTop="1" thickBot="1" x14ac:dyDescent="0.35">
      <c r="O717" s="3" t="s">
        <v>1298</v>
      </c>
      <c r="P717" s="4">
        <f>COUNTIFS(Raw_Data[subscription_type], "Student",Raw_Data[churned], 1)</f>
        <v>61</v>
      </c>
    </row>
    <row r="718" spans="15:19" ht="15" thickTop="1" x14ac:dyDescent="0.3">
      <c r="O718" s="3" t="s">
        <v>1299</v>
      </c>
      <c r="P718" s="4">
        <f>COUNTIF(Raw_Data[subscription_type], "Student")</f>
        <v>203</v>
      </c>
    </row>
    <row r="719" spans="15:19" x14ac:dyDescent="0.3">
      <c r="O719" s="3" t="s">
        <v>1292</v>
      </c>
      <c r="P719" s="5">
        <f>$P$717/$P$718</f>
        <v>0.30049261083743845</v>
      </c>
    </row>
    <row r="720" spans="15:19" ht="15" thickBot="1" x14ac:dyDescent="0.35"/>
    <row r="721" spans="15:16" ht="15.6" thickTop="1" thickBot="1" x14ac:dyDescent="0.35">
      <c r="O721" s="3" t="s">
        <v>1300</v>
      </c>
      <c r="P721" s="4">
        <f>COUNTIFS(Raw_Data[subscription_type], "Family",Raw_Data[churned], 0)</f>
        <v>140</v>
      </c>
    </row>
    <row r="722" spans="15:16" ht="15.6" thickTop="1" thickBot="1" x14ac:dyDescent="0.35">
      <c r="O722" s="3" t="s">
        <v>1301</v>
      </c>
      <c r="P722" s="4">
        <f>COUNTIFS(Raw_Data[subscription_type], "Family",Raw_Data[churned], 1)</f>
        <v>69</v>
      </c>
    </row>
    <row r="723" spans="15:16" ht="15" thickTop="1" x14ac:dyDescent="0.3">
      <c r="O723" s="3" t="s">
        <v>1302</v>
      </c>
      <c r="P723" s="4">
        <f>COUNTIF(Raw_Data[subscription_type], "Family")</f>
        <v>209</v>
      </c>
    </row>
    <row r="724" spans="15:16" x14ac:dyDescent="0.3">
      <c r="O724" s="3" t="s">
        <v>1292</v>
      </c>
      <c r="P724" s="5">
        <f>$P$722/$P$723</f>
        <v>0.33014354066985646</v>
      </c>
    </row>
    <row r="725" spans="15:16" ht="15" thickBot="1" x14ac:dyDescent="0.35"/>
    <row r="726" spans="15:16" ht="15.6" thickTop="1" thickBot="1" x14ac:dyDescent="0.35">
      <c r="O726" s="3" t="s">
        <v>1303</v>
      </c>
      <c r="P726" s="4">
        <f>COUNTIFS(Raw_Data[subscription_type], "Premium",Raw_Data[churned], 0)</f>
        <v>128</v>
      </c>
    </row>
    <row r="727" spans="15:16" ht="15.6" thickTop="1" thickBot="1" x14ac:dyDescent="0.35">
      <c r="O727" s="3" t="s">
        <v>1304</v>
      </c>
      <c r="P727" s="4">
        <f>COUNTIFS(Raw_Data[subscription_type], "Premium",Raw_Data[churned], 1)</f>
        <v>58</v>
      </c>
    </row>
    <row r="728" spans="15:16" ht="15" thickTop="1" x14ac:dyDescent="0.3">
      <c r="O728" s="3" t="s">
        <v>1305</v>
      </c>
      <c r="P728" s="4">
        <f>COUNTIF(Raw_Data[subscription_type], "Premium")</f>
        <v>186</v>
      </c>
    </row>
    <row r="729" spans="15:16" x14ac:dyDescent="0.3">
      <c r="O729" s="3" t="s">
        <v>1292</v>
      </c>
      <c r="P729" s="5">
        <f>$P$727/$P$728</f>
        <v>0.31182795698924731</v>
      </c>
    </row>
    <row r="731" spans="15:16" x14ac:dyDescent="0.3">
      <c r="O731" s="3" t="s">
        <v>1306</v>
      </c>
      <c r="P731" s="15">
        <f>($P$706/$P$701)</f>
        <v>0.30571428571428572</v>
      </c>
    </row>
    <row r="732" spans="15:16" x14ac:dyDescent="0.3">
      <c r="O732" s="3" t="s">
        <v>1307</v>
      </c>
      <c r="P732" s="15">
        <f>($P$712/$P$713)</f>
        <v>0.25490196078431371</v>
      </c>
    </row>
    <row r="733" spans="15:16" x14ac:dyDescent="0.3">
      <c r="O733" s="3" t="s">
        <v>1308</v>
      </c>
      <c r="P733" s="15">
        <f>($P$717/$P$718)</f>
        <v>0.30049261083743845</v>
      </c>
    </row>
    <row r="734" spans="15:16" x14ac:dyDescent="0.3">
      <c r="O734" s="3" t="s">
        <v>1309</v>
      </c>
      <c r="P734" s="15">
        <f>($P$722/$P$723)</f>
        <v>0.33014354066985646</v>
      </c>
    </row>
    <row r="735" spans="15:16" x14ac:dyDescent="0.3">
      <c r="O735" s="3" t="s">
        <v>1310</v>
      </c>
      <c r="P735" s="15">
        <f>($P$727/$P$728)</f>
        <v>0.31182795698924731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B6E2-ED47-4B9F-817A-66BF106245D8}">
  <dimension ref="A1:AL35"/>
  <sheetViews>
    <sheetView topLeftCell="A7" zoomScale="99" zoomScaleNormal="99" workbookViewId="0">
      <selection activeCell="W24" sqref="W24:AB28"/>
    </sheetView>
  </sheetViews>
  <sheetFormatPr defaultRowHeight="14.4" x14ac:dyDescent="0.3"/>
  <cols>
    <col min="1" max="1" width="11.88671875" customWidth="1"/>
    <col min="4" max="4" width="13.5546875" bestFit="1" customWidth="1"/>
    <col min="5" max="5" width="17.44140625" customWidth="1"/>
    <col min="6" max="6" width="10.109375" bestFit="1" customWidth="1"/>
    <col min="11" max="11" width="13.6640625" customWidth="1"/>
    <col min="12" max="12" width="17.6640625" bestFit="1" customWidth="1"/>
    <col min="13" max="13" width="11.5546875" customWidth="1"/>
    <col min="23" max="23" width="11.33203125" customWidth="1"/>
    <col min="25" max="25" width="22" customWidth="1"/>
    <col min="26" max="26" width="10.109375" bestFit="1" customWidth="1"/>
    <col min="30" max="30" width="14.33203125" customWidth="1"/>
    <col min="31" max="31" width="10.109375" customWidth="1"/>
    <col min="33" max="33" width="10.109375" bestFit="1" customWidth="1"/>
    <col min="38" max="38" width="12.77734375" bestFit="1" customWidth="1"/>
  </cols>
  <sheetData>
    <row r="1" spans="1:38" x14ac:dyDescent="0.3">
      <c r="A1" s="3" t="s">
        <v>1327</v>
      </c>
      <c r="B1" s="3" t="s">
        <v>1328</v>
      </c>
      <c r="D1" s="3" t="s">
        <v>1322</v>
      </c>
      <c r="E1" s="3" t="s">
        <v>1358</v>
      </c>
      <c r="F1" s="3" t="s">
        <v>1292</v>
      </c>
      <c r="K1" s="3" t="s">
        <v>1340</v>
      </c>
      <c r="L1" s="3" t="s">
        <v>1358</v>
      </c>
      <c r="M1" s="3" t="s">
        <v>1292</v>
      </c>
      <c r="S1" s="3" t="s">
        <v>1330</v>
      </c>
      <c r="T1" s="3" t="s">
        <v>1326</v>
      </c>
      <c r="W1" s="3" t="s">
        <v>1349</v>
      </c>
      <c r="X1" s="3" t="s">
        <v>1331</v>
      </c>
      <c r="Y1" s="3" t="s">
        <v>1351</v>
      </c>
      <c r="Z1" s="3" t="s">
        <v>1292</v>
      </c>
      <c r="AB1" s="3"/>
      <c r="AD1" s="3" t="s">
        <v>1349</v>
      </c>
      <c r="AE1" s="3" t="s">
        <v>1331</v>
      </c>
      <c r="AF1" s="3" t="s">
        <v>1351</v>
      </c>
      <c r="AG1" s="3" t="s">
        <v>1292</v>
      </c>
      <c r="AK1" s="3" t="s">
        <v>1354</v>
      </c>
      <c r="AL1" s="3" t="s">
        <v>1355</v>
      </c>
    </row>
    <row r="2" spans="1:38" x14ac:dyDescent="0.3">
      <c r="A2">
        <v>1</v>
      </c>
      <c r="B2" s="12">
        <f>AVERAGEIF(Raw_Data[satisfaction_score],'Churn Analysis'!A2,Raw_Data[churned])</f>
        <v>0.26027397260273971</v>
      </c>
      <c r="D2" t="str" cm="1">
        <f t="array" ref="D2:D10">_xlfn.UNIQUE(Raw_Data[country])</f>
        <v>South Africa</v>
      </c>
      <c r="E2" s="13">
        <f>COUNTIF(Raw_Data[country],'Churn Analysis'!D2)</f>
        <v>55</v>
      </c>
      <c r="F2" s="12">
        <f>AVERAGEIFS(Raw_Data[churned],Raw_Data[country],'Churn Analysis'!D2,Raw_Data[churned],"&lt;&gt;"&amp;"")</f>
        <v>0.27272727272727271</v>
      </c>
      <c r="K2" t="s">
        <v>1334</v>
      </c>
      <c r="L2">
        <v>74</v>
      </c>
      <c r="M2" s="12">
        <v>0.35135135135135137</v>
      </c>
      <c r="S2" t="s">
        <v>16</v>
      </c>
      <c r="T2" s="12">
        <f>AVERAGEIF(Raw_Data[subscription_type],'Churn Analysis'!S2,Raw_Data[churned])</f>
        <v>0.33014354066985646</v>
      </c>
      <c r="W2" t="s">
        <v>1350</v>
      </c>
      <c r="X2" s="12">
        <f>AVERAGEIF(Raw_Data[total_songs_played],"&lt;=450",Raw_Data[skip_rate])</f>
        <v>0.19285714285714287</v>
      </c>
      <c r="Y2" s="11">
        <f>AVERAGEIFS(Raw_Data[avg_listening_hours_per_week],Raw_Data[total_songs_played],"&lt;=450")</f>
        <v>7.2142857142857144</v>
      </c>
      <c r="Z2" s="12">
        <f>AVERAGEIFS(Raw_Data[churned],Raw_Data[total_songs_played],"&lt;=450")</f>
        <v>0.14285714285714285</v>
      </c>
      <c r="AD2" t="s">
        <v>1350</v>
      </c>
      <c r="AE2" s="12" t="e">
        <f>AVERAGEIFS(Raw_Data[skip_rate],Raw_Data[total_songs_played],"&lt;451",Raw_Data[subscription_type],"Free")</f>
        <v>#DIV/0!</v>
      </c>
      <c r="AF2" s="11" t="e">
        <f>AVERAGEIFS(Raw_Data[avg_listening_hours_per_week],Raw_Data[total_songs_played],"&lt;=450",Raw_Data[subscription_type],"Free")</f>
        <v>#DIV/0!</v>
      </c>
      <c r="AG2" s="12" t="e">
        <f>AVERAGEIFS(Raw_Data[churned],Raw_Data[total_songs_played],"&lt;=450",Raw_Data[subscription_type],"Free")</f>
        <v>#DIV/0!</v>
      </c>
      <c r="AK2">
        <v>2022</v>
      </c>
      <c r="AL2" s="12">
        <f>AVERAGEIFS(Raw_Data[churned],Raw_Data[Year of Join],AK2)</f>
        <v>0.32974910394265233</v>
      </c>
    </row>
    <row r="3" spans="1:38" x14ac:dyDescent="0.3">
      <c r="A3">
        <v>2</v>
      </c>
      <c r="B3" s="12">
        <f>AVERAGEIF(Raw_Data[satisfaction_score],'Churn Analysis'!A3,Raw_Data[churned])</f>
        <v>0.36792452830188677</v>
      </c>
      <c r="D3" t="str">
        <v>India</v>
      </c>
      <c r="E3" s="13">
        <f>COUNTIF(Raw_Data[country],'Churn Analysis'!D3)</f>
        <v>114</v>
      </c>
      <c r="F3" s="12">
        <f>AVERAGEIFS(Raw_Data[churned],Raw_Data[country],'Churn Analysis'!D3,Raw_Data[churned],"&lt;&gt;"&amp;"")</f>
        <v>0.24561403508771928</v>
      </c>
      <c r="K3" t="s">
        <v>1335</v>
      </c>
      <c r="L3">
        <v>94</v>
      </c>
      <c r="M3" s="12">
        <v>0.32432432432432434</v>
      </c>
      <c r="S3" t="s">
        <v>53</v>
      </c>
      <c r="T3" s="12">
        <f>AVERAGEIF(Raw_Data[subscription_type],'Churn Analysis'!S3,Raw_Data[churned])</f>
        <v>0.25490196078431371</v>
      </c>
      <c r="W3" t="s">
        <v>1344</v>
      </c>
      <c r="X3" s="12">
        <f>AVERAGEIFS(Raw_Data[skip_rate],Raw_Data[total_songs_played],"&gt;450",Raw_Data[total_songs_played],"&lt;=475")</f>
        <v>0.1744444444444444</v>
      </c>
      <c r="Y3" s="11">
        <f>AVERAGEIFS(Raw_Data[avg_listening_hours_per_week],Raw_Data[total_songs_played],"&gt;=451",Raw_Data[total_songs_played],"&lt;=475")</f>
        <v>10.525555555555554</v>
      </c>
      <c r="Z3" s="12">
        <f>AVERAGEIFS(Raw_Data[churned],Raw_Data[total_songs_played],"&gt;=451",Raw_Data[total_songs_played],"&lt;=475")</f>
        <v>0.25555555555555554</v>
      </c>
      <c r="AD3" t="s">
        <v>1344</v>
      </c>
      <c r="AE3" s="12">
        <f>AVERAGEIFS(Raw_Data[skip_rate],Raw_Data[total_songs_played],"&gt;450",Raw_Data[total_songs_played],"&lt;=475",Raw_Data[subscription_type],"Free")</f>
        <v>0.19500000000000001</v>
      </c>
      <c r="AF3" s="11">
        <f>AVERAGEIFS(Raw_Data[avg_listening_hours_per_week],Raw_Data[total_songs_played],"&gt;=451",Raw_Data[total_songs_played],"&lt;=475",Raw_Data[subscription_type],"Free")</f>
        <v>7.63</v>
      </c>
      <c r="AG3" s="12">
        <f>AVERAGEIFS(Raw_Data[churned],Raw_Data[total_songs_played],"&gt;=451",Raw_Data[total_songs_played],"&lt;=475",Raw_Data[subscription_type],"Free")</f>
        <v>0.1</v>
      </c>
      <c r="AK3">
        <v>2023</v>
      </c>
      <c r="AL3" s="12">
        <f>AVERAGEIFS(Raw_Data[churned],Raw_Data[Year of Join],AK3)</f>
        <v>0.304029304029304</v>
      </c>
    </row>
    <row r="4" spans="1:38" x14ac:dyDescent="0.3">
      <c r="A4">
        <v>3</v>
      </c>
      <c r="B4" s="12">
        <f>AVERAGEIF(Raw_Data[satisfaction_score],'Churn Analysis'!A4,Raw_Data[churned])</f>
        <v>0.24890829694323144</v>
      </c>
      <c r="D4" t="str">
        <v>Nigeria</v>
      </c>
      <c r="E4" s="13">
        <f>COUNTIF(Raw_Data[country],'Churn Analysis'!D4)</f>
        <v>65</v>
      </c>
      <c r="F4" s="12">
        <f>AVERAGEIFS(Raw_Data[churned],Raw_Data[country],'Churn Analysis'!D4,Raw_Data[churned],"&lt;&gt;"&amp;"")</f>
        <v>0.38461538461538464</v>
      </c>
      <c r="K4" t="s">
        <v>1336</v>
      </c>
      <c r="L4">
        <v>120</v>
      </c>
      <c r="M4" s="12">
        <v>0.28985507246376813</v>
      </c>
      <c r="S4" t="s">
        <v>66</v>
      </c>
      <c r="T4" s="12">
        <f>AVERAGEIF(Raw_Data[subscription_type],'Churn Analysis'!S4,Raw_Data[churned])</f>
        <v>0.31182795698924731</v>
      </c>
      <c r="W4" t="s">
        <v>1345</v>
      </c>
      <c r="X4" s="12">
        <f>AVERAGEIFS(Raw_Data[skip_rate],Raw_Data[total_songs_played],"&gt;=476",Raw_Data[total_songs_played],"&lt;=500")</f>
        <v>0.17314487632508868</v>
      </c>
      <c r="Y4" s="11">
        <f>AVERAGEIFS(Raw_Data[avg_listening_hours_per_week],Raw_Data[total_songs_played],"&gt;=476",Raw_Data[total_songs_played],"&lt;=500")</f>
        <v>10.198233215547717</v>
      </c>
      <c r="Z4" s="12">
        <f>AVERAGEIFS(Raw_Data[churned],Raw_Data[total_songs_played],"&gt;=476",Raw_Data[total_songs_played],"&lt;=500")</f>
        <v>0.28268551236749118</v>
      </c>
      <c r="AD4" t="s">
        <v>1345</v>
      </c>
      <c r="AE4" s="12">
        <f>AVERAGEIFS(Raw_Data[skip_rate],Raw_Data[total_songs_played],"&gt;=476",Raw_Data[total_songs_played],"&lt;=500",Raw_Data[subscription_type],"Free")</f>
        <v>0.18953488372093019</v>
      </c>
      <c r="AF4" s="11">
        <f>AVERAGEIFS(Raw_Data[avg_listening_hours_per_week],Raw_Data[total_songs_played],"&gt;=476",Raw_Data[total_songs_played],"&lt;=500",Raw_Data[subscription_type],"Free")</f>
        <v>9.5325581395348848</v>
      </c>
      <c r="AG4" s="12">
        <f>AVERAGEIFS(Raw_Data[churned],Raw_Data[total_songs_played],"&gt;=476",Raw_Data[total_songs_played],"&lt;=500",Raw_Data[subscription_type],"Free")</f>
        <v>0.23255813953488372</v>
      </c>
      <c r="AK4">
        <v>2024</v>
      </c>
      <c r="AL4" s="12">
        <f>AVERAGEIFS(Raw_Data[churned],Raw_Data[Year of Join],AK4)</f>
        <v>0.26351351351351349</v>
      </c>
    </row>
    <row r="5" spans="1:38" x14ac:dyDescent="0.3">
      <c r="A5">
        <v>4</v>
      </c>
      <c r="B5" s="12">
        <f>AVERAGEIF(Raw_Data[satisfaction_score],'Churn Analysis'!A5,Raw_Data[churned])</f>
        <v>0.34210526315789475</v>
      </c>
      <c r="D5" t="str">
        <v>Ghana</v>
      </c>
      <c r="E5" s="13">
        <f>COUNTIF(Raw_Data[country],'Churn Analysis'!D5)</f>
        <v>56</v>
      </c>
      <c r="F5" s="12">
        <f>AVERAGEIFS(Raw_Data[churned],Raw_Data[country],'Churn Analysis'!D5,Raw_Data[churned],"&lt;&gt;"&amp;"")</f>
        <v>0.375</v>
      </c>
      <c r="K5" t="s">
        <v>1337</v>
      </c>
      <c r="L5">
        <v>143</v>
      </c>
      <c r="M5" s="12">
        <v>0.29729729729729731</v>
      </c>
      <c r="S5" t="s">
        <v>94</v>
      </c>
      <c r="T5" s="12">
        <f>AVERAGEIF(Raw_Data[subscription_type],'Churn Analysis'!S5,Raw_Data[churned])</f>
        <v>0.30049261083743845</v>
      </c>
      <c r="W5" t="s">
        <v>1346</v>
      </c>
      <c r="X5" s="12">
        <f>AVERAGEIFS(Raw_Data[skip_rate],Raw_Data[total_songs_played],"&gt;=501",Raw_Data[total_songs_played],"&lt;=525")</f>
        <v>0.16554621848739509</v>
      </c>
      <c r="Y5" s="11">
        <f>AVERAGEIFS(Raw_Data[avg_listening_hours_per_week],Raw_Data[total_songs_played],"&gt;=501",Raw_Data[total_songs_played],"&lt;=525")</f>
        <v>9.643277310924363</v>
      </c>
      <c r="Z5" s="12">
        <f>AVERAGEIFS(Raw_Data[churned],Raw_Data[total_songs_played],"&gt;=501",Raw_Data[total_songs_played],"&lt;=525")</f>
        <v>0.36134453781512604</v>
      </c>
      <c r="AD5" t="s">
        <v>1346</v>
      </c>
      <c r="AE5" s="12">
        <f>AVERAGEIFS(Raw_Data[skip_rate],Raw_Data[total_songs_played],"&gt;=501",Raw_Data[total_songs_played],"&lt;=525",Raw_Data[subscription_type],"Free")</f>
        <v>0.17285714285714288</v>
      </c>
      <c r="AF5" s="11">
        <f>AVERAGEIFS(Raw_Data[avg_listening_hours_per_week],Raw_Data[total_songs_played],"&gt;=501",Raw_Data[total_songs_played],"&lt;=525",Raw_Data[subscription_type],"Free")</f>
        <v>11.074285714285715</v>
      </c>
      <c r="AG5" s="12">
        <f>AVERAGEIFS(Raw_Data[churned],Raw_Data[total_songs_played],"&gt;=501",Raw_Data[total_songs_played],"&lt;=525",Raw_Data[subscription_type],"Free")</f>
        <v>0.31428571428571428</v>
      </c>
    </row>
    <row r="6" spans="1:38" x14ac:dyDescent="0.3">
      <c r="A6">
        <v>5</v>
      </c>
      <c r="B6" s="12">
        <f>AVERAGEIF(Raw_Data[satisfaction_score],'Churn Analysis'!A6,Raw_Data[churned])</f>
        <v>0.32291666666666669</v>
      </c>
      <c r="D6" t="str">
        <v>Kenya</v>
      </c>
      <c r="E6" s="13">
        <f>COUNTIF(Raw_Data[country],'Churn Analysis'!D6)</f>
        <v>65</v>
      </c>
      <c r="F6" s="12">
        <f>AVERAGEIFS(Raw_Data[churned],Raw_Data[country],'Churn Analysis'!D6,Raw_Data[churned],"&lt;&gt;"&amp;"")</f>
        <v>0.32307692307692309</v>
      </c>
      <c r="K6" t="s">
        <v>1338</v>
      </c>
      <c r="L6">
        <v>130</v>
      </c>
      <c r="M6" s="12">
        <v>0.3</v>
      </c>
      <c r="W6" t="s">
        <v>1347</v>
      </c>
      <c r="X6" s="12">
        <f>AVERAGEIFS(Raw_Data[skip_rate],Raw_Data[total_songs_played],"&gt;=526",Raw_Data[total_songs_played],"&lt;=550")</f>
        <v>0.14057971014492746</v>
      </c>
      <c r="Y6" s="11">
        <f>AVERAGEIFS(Raw_Data[avg_listening_hours_per_week],Raw_Data[total_songs_played],"&gt;=526",Raw_Data[total_songs_played],"&lt;=550")</f>
        <v>10.346376811594203</v>
      </c>
      <c r="Z6" s="12">
        <f>AVERAGEIFS(Raw_Data[churned],Raw_Data[total_songs_played],"&gt;=526",Raw_Data[total_songs_played],"&lt;=550")</f>
        <v>0.3188405797101449</v>
      </c>
      <c r="AD6" t="s">
        <v>1347</v>
      </c>
      <c r="AE6" s="12">
        <f>AVERAGEIFS(Raw_Data[skip_rate],Raw_Data[total_songs_played],"&gt;=526",Raw_Data[total_songs_played],"&lt;=550",Raw_Data[subscription_type],"Free")</f>
        <v>0.14583333333333334</v>
      </c>
      <c r="AF6" s="11">
        <f>AVERAGEIFS(Raw_Data[avg_listening_hours_per_week],Raw_Data[total_songs_played],"&gt;=526",Raw_Data[total_songs_played],"&lt;=550",Raw_Data[subscription_type],"Free")</f>
        <v>9.8333333333333321</v>
      </c>
      <c r="AG6" s="12">
        <f>AVERAGEIFS(Raw_Data[churned],Raw_Data[total_songs_played],"&gt;=526",Raw_Data[total_songs_played],"&lt;=550",Raw_Data[subscription_type],"Free")</f>
        <v>0.33333333333333331</v>
      </c>
      <c r="AK6" t="s">
        <v>1357</v>
      </c>
    </row>
    <row r="7" spans="1:38" x14ac:dyDescent="0.3">
      <c r="D7" t="str">
        <v>Nepal</v>
      </c>
      <c r="E7" s="13">
        <f>COUNTIF(Raw_Data[country],'Churn Analysis'!D7)</f>
        <v>46</v>
      </c>
      <c r="F7" s="12">
        <f>AVERAGEIFS(Raw_Data[churned],Raw_Data[country],'Churn Analysis'!D7,Raw_Data[churned],"&lt;&gt;"&amp;"")</f>
        <v>0.2608695652173913</v>
      </c>
      <c r="K7" t="s">
        <v>1339</v>
      </c>
      <c r="L7">
        <v>139</v>
      </c>
      <c r="M7" s="12">
        <v>0.3188405797101449</v>
      </c>
      <c r="W7" t="s">
        <v>1348</v>
      </c>
      <c r="X7" s="12">
        <f>AVERAGEIFS(Raw_Data[skip_rate],Raw_Data[total_songs_played],"&gt;=551",Raw_Data[total_songs_played],"&lt;=575")</f>
        <v>0.18846153846153849</v>
      </c>
      <c r="Y7">
        <f>AVERAGEIFS(Raw_Data[avg_listening_hours_per_week],Raw_Data[total_songs_played],"&gt;=551",Raw_Data[total_songs_played],"&lt;=575")</f>
        <v>9.5999999999999979</v>
      </c>
      <c r="Z7" s="12">
        <f>AVERAGEIFS(Raw_Data[churned],Raw_Data[total_songs_played],"&gt;=551",Raw_Data[total_songs_played],"&lt;=575")</f>
        <v>0.15384615384615385</v>
      </c>
      <c r="AD7" t="s">
        <v>1348</v>
      </c>
      <c r="AE7" s="12">
        <f>AVERAGEIFS(Raw_Data[skip_rate],Raw_Data[total_songs_played],"&gt;=551",Raw_Data[total_songs_played],"&lt;=575",Raw_Data[subscription_type],"Free")</f>
        <v>0.22499999999999998</v>
      </c>
      <c r="AF7">
        <f>AVERAGEIFS(Raw_Data[avg_listening_hours_per_week],Raw_Data[total_songs_played],"&gt;=551",Raw_Data[total_songs_played],"&lt;=575",Raw_Data[subscription_type],"Free")</f>
        <v>9.8000000000000007</v>
      </c>
      <c r="AG7" s="12">
        <f>AVERAGEIFS(Raw_Data[churned],Raw_Data[total_songs_played],"&gt;=551",Raw_Data[total_songs_played],"&lt;=575",Raw_Data[subscription_type],"Free")</f>
        <v>0</v>
      </c>
    </row>
    <row r="8" spans="1:38" x14ac:dyDescent="0.3">
      <c r="D8" t="str">
        <v>United Kingdom</v>
      </c>
      <c r="E8" s="13">
        <f>COUNTIF(Raw_Data[country],'Churn Analysis'!D8)</f>
        <v>183</v>
      </c>
      <c r="F8" s="12">
        <f>AVERAGEIFS(Raw_Data[churned],Raw_Data[country],'Churn Analysis'!D8,Raw_Data[churned],"&lt;&gt;"&amp;"")</f>
        <v>0.32240437158469948</v>
      </c>
      <c r="S8" s="18" t="s">
        <v>1343</v>
      </c>
      <c r="T8" s="18"/>
    </row>
    <row r="9" spans="1:38" x14ac:dyDescent="0.3">
      <c r="D9" t="str">
        <v>USA</v>
      </c>
      <c r="E9" s="13">
        <f>COUNTIF(Raw_Data[country],'Churn Analysis'!D9)</f>
        <v>76</v>
      </c>
      <c r="F9" s="12">
        <f>AVERAGEIFS(Raw_Data[churned],Raw_Data[country],'Churn Analysis'!D9,Raw_Data[churned],"&lt;&gt;"&amp;"")</f>
        <v>0.23684210526315788</v>
      </c>
      <c r="S9" s="18"/>
      <c r="T9" s="18"/>
    </row>
    <row r="10" spans="1:38" x14ac:dyDescent="0.3">
      <c r="D10" t="str">
        <v>Brazil</v>
      </c>
      <c r="E10" s="13">
        <f>COUNTIF(Raw_Data[country],'Churn Analysis'!D10)</f>
        <v>40</v>
      </c>
      <c r="F10" s="12">
        <f>AVERAGEIFS(Raw_Data[churned],Raw_Data[country],'Churn Analysis'!D10,Raw_Data[churned],"&lt;&gt;"&amp;"")</f>
        <v>0.375</v>
      </c>
      <c r="G10" s="13"/>
      <c r="S10" s="18"/>
      <c r="T10" s="18"/>
    </row>
    <row r="11" spans="1:38" x14ac:dyDescent="0.3">
      <c r="S11" s="18"/>
      <c r="T11" s="18"/>
    </row>
    <row r="12" spans="1:38" x14ac:dyDescent="0.3">
      <c r="A12" s="16" t="s">
        <v>1332</v>
      </c>
      <c r="B12" s="17"/>
      <c r="C12" s="17"/>
    </row>
    <row r="13" spans="1:38" x14ac:dyDescent="0.3">
      <c r="A13" s="17"/>
      <c r="B13" s="17"/>
      <c r="C13" s="17"/>
    </row>
    <row r="14" spans="1:38" x14ac:dyDescent="0.3">
      <c r="A14" s="17"/>
      <c r="B14" s="17"/>
      <c r="C14" s="17"/>
    </row>
    <row r="15" spans="1:38" x14ac:dyDescent="0.3">
      <c r="A15" s="17"/>
      <c r="B15" s="17"/>
      <c r="C15" s="17"/>
    </row>
    <row r="16" spans="1:38" x14ac:dyDescent="0.3">
      <c r="A16" s="17"/>
      <c r="B16" s="17"/>
      <c r="C16" s="17"/>
    </row>
    <row r="17" spans="1:28" x14ac:dyDescent="0.3">
      <c r="A17" s="17"/>
      <c r="B17" s="17"/>
      <c r="C17" s="17"/>
    </row>
    <row r="18" spans="1:28" x14ac:dyDescent="0.3">
      <c r="A18" s="17"/>
      <c r="B18" s="17"/>
      <c r="C18" s="17"/>
    </row>
    <row r="19" spans="1:28" x14ac:dyDescent="0.3">
      <c r="A19" s="17"/>
      <c r="B19" s="17"/>
      <c r="C19" s="17"/>
    </row>
    <row r="24" spans="1:28" x14ac:dyDescent="0.3">
      <c r="W24" s="18" t="s">
        <v>1352</v>
      </c>
      <c r="X24" s="18"/>
      <c r="Y24" s="18"/>
      <c r="Z24" s="18"/>
      <c r="AA24" s="18"/>
      <c r="AB24" s="18"/>
    </row>
    <row r="25" spans="1:28" x14ac:dyDescent="0.3">
      <c r="W25" s="18"/>
      <c r="X25" s="18"/>
      <c r="Y25" s="18"/>
      <c r="Z25" s="18"/>
      <c r="AA25" s="18"/>
      <c r="AB25" s="18"/>
    </row>
    <row r="26" spans="1:28" x14ac:dyDescent="0.3">
      <c r="W26" s="18"/>
      <c r="X26" s="18"/>
      <c r="Y26" s="18"/>
      <c r="Z26" s="18"/>
      <c r="AA26" s="18"/>
      <c r="AB26" s="18"/>
    </row>
    <row r="27" spans="1:28" x14ac:dyDescent="0.3">
      <c r="D27" s="16" t="s">
        <v>1353</v>
      </c>
      <c r="E27" s="17"/>
      <c r="F27" s="17"/>
      <c r="W27" s="18"/>
      <c r="X27" s="18"/>
      <c r="Y27" s="18"/>
      <c r="Z27" s="18"/>
      <c r="AA27" s="18"/>
      <c r="AB27" s="18"/>
    </row>
    <row r="28" spans="1:28" x14ac:dyDescent="0.3">
      <c r="D28" s="17"/>
      <c r="E28" s="17"/>
      <c r="F28" s="17"/>
      <c r="K28" s="16" t="s">
        <v>1342</v>
      </c>
      <c r="L28" s="17"/>
      <c r="M28" s="17"/>
      <c r="W28" s="18"/>
      <c r="X28" s="18"/>
      <c r="Y28" s="18"/>
      <c r="Z28" s="18"/>
      <c r="AA28" s="18"/>
      <c r="AB28" s="18"/>
    </row>
    <row r="29" spans="1:28" x14ac:dyDescent="0.3">
      <c r="D29" s="17"/>
      <c r="E29" s="17"/>
      <c r="F29" s="17"/>
      <c r="K29" s="17"/>
      <c r="L29" s="17"/>
      <c r="M29" s="17"/>
    </row>
    <row r="30" spans="1:28" x14ac:dyDescent="0.3">
      <c r="D30" s="17"/>
      <c r="E30" s="17"/>
      <c r="F30" s="17"/>
      <c r="K30" s="17"/>
      <c r="L30" s="17"/>
      <c r="M30" s="17"/>
    </row>
    <row r="31" spans="1:28" x14ac:dyDescent="0.3">
      <c r="D31" s="17"/>
      <c r="E31" s="17"/>
      <c r="F31" s="17"/>
      <c r="K31" s="17"/>
      <c r="L31" s="17"/>
      <c r="M31" s="17"/>
    </row>
    <row r="32" spans="1:28" x14ac:dyDescent="0.3">
      <c r="D32" s="17"/>
      <c r="E32" s="17"/>
      <c r="F32" s="17"/>
      <c r="K32" s="17"/>
      <c r="L32" s="17"/>
      <c r="M32" s="17"/>
    </row>
    <row r="33" spans="4:13" x14ac:dyDescent="0.3">
      <c r="D33" s="17"/>
      <c r="E33" s="17"/>
      <c r="F33" s="17"/>
      <c r="K33" s="17"/>
      <c r="L33" s="17"/>
      <c r="M33" s="17"/>
    </row>
    <row r="34" spans="4:13" x14ac:dyDescent="0.3">
      <c r="D34" s="17"/>
      <c r="E34" s="17"/>
      <c r="F34" s="17"/>
      <c r="K34" s="17"/>
      <c r="L34" s="17"/>
      <c r="M34" s="17"/>
    </row>
    <row r="35" spans="4:13" x14ac:dyDescent="0.3">
      <c r="K35" s="17"/>
      <c r="L35" s="17"/>
      <c r="M35" s="17"/>
    </row>
  </sheetData>
  <mergeCells count="5">
    <mergeCell ref="A12:C19"/>
    <mergeCell ref="D27:F34"/>
    <mergeCell ref="K28:M35"/>
    <mergeCell ref="S8:T11"/>
    <mergeCell ref="W24:AB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6909-6628-4D46-AE25-E81A43BD090D}">
  <dimension ref="A1:H53"/>
  <sheetViews>
    <sheetView workbookViewId="0">
      <selection activeCell="F1" sqref="F1:H7"/>
    </sheetView>
  </sheetViews>
  <sheetFormatPr defaultRowHeight="14.4" x14ac:dyDescent="0.3"/>
  <cols>
    <col min="4" max="4" width="12.77734375" customWidth="1"/>
    <col min="5" max="5" width="25.6640625" customWidth="1"/>
    <col min="6" max="6" width="10.109375" customWidth="1"/>
    <col min="8" max="8" width="11.33203125" customWidth="1"/>
  </cols>
  <sheetData>
    <row r="1" spans="1:8" x14ac:dyDescent="0.3">
      <c r="B1" t="s">
        <v>1329</v>
      </c>
      <c r="C1" t="s">
        <v>1333</v>
      </c>
      <c r="D1" t="s">
        <v>1341</v>
      </c>
      <c r="F1" t="s">
        <v>1340</v>
      </c>
      <c r="G1" t="s">
        <v>1333</v>
      </c>
      <c r="H1" t="s">
        <v>1292</v>
      </c>
    </row>
    <row r="2" spans="1:8" x14ac:dyDescent="0.3">
      <c r="A2" t="s">
        <v>1334</v>
      </c>
      <c r="B2">
        <v>13</v>
      </c>
      <c r="C2">
        <f>COUNTIF(Raw_Data[age],'Age Categories'!B2)</f>
        <v>17</v>
      </c>
      <c r="D2">
        <f>SUMIF(Raw_Data[age],'Age Categories'!B2,Raw_Data[churned])</f>
        <v>6</v>
      </c>
      <c r="F2" t="s">
        <v>1334</v>
      </c>
      <c r="G2">
        <f>SUMIF(A:A,F2,C:C)</f>
        <v>74</v>
      </c>
      <c r="H2" s="12">
        <f>SUM(D2:D6)/SUM(C2:C6)</f>
        <v>0.35135135135135137</v>
      </c>
    </row>
    <row r="3" spans="1:8" x14ac:dyDescent="0.3">
      <c r="A3" t="s">
        <v>1334</v>
      </c>
      <c r="B3">
        <v>14</v>
      </c>
      <c r="C3">
        <f>COUNTIF(Raw_Data[age],'Age Categories'!B3)</f>
        <v>13</v>
      </c>
      <c r="D3">
        <f>SUMIF(Raw_Data[age],'Age Categories'!B3,Raw_Data[churned])</f>
        <v>4</v>
      </c>
      <c r="F3" t="s">
        <v>1335</v>
      </c>
      <c r="G3">
        <f t="shared" ref="G3:G7" si="0">SUMIF(A:A,F3,C:C)</f>
        <v>94</v>
      </c>
      <c r="H3" s="12">
        <f t="shared" ref="H3:H7" si="1">SUM(D3:D7)/SUM(C3:C7)</f>
        <v>0.32432432432432434</v>
      </c>
    </row>
    <row r="4" spans="1:8" x14ac:dyDescent="0.3">
      <c r="A4" t="s">
        <v>1334</v>
      </c>
      <c r="B4">
        <v>15</v>
      </c>
      <c r="C4">
        <f>COUNTIF(Raw_Data[age],'Age Categories'!B4)</f>
        <v>13</v>
      </c>
      <c r="D4">
        <f>SUMIF(Raw_Data[age],'Age Categories'!B4,Raw_Data[churned])</f>
        <v>4</v>
      </c>
      <c r="F4" t="s">
        <v>1336</v>
      </c>
      <c r="G4">
        <f t="shared" si="0"/>
        <v>120</v>
      </c>
      <c r="H4" s="12">
        <f t="shared" si="1"/>
        <v>0.28985507246376813</v>
      </c>
    </row>
    <row r="5" spans="1:8" x14ac:dyDescent="0.3">
      <c r="A5" t="s">
        <v>1334</v>
      </c>
      <c r="B5">
        <v>16</v>
      </c>
      <c r="C5">
        <f>COUNTIF(Raw_Data[age],'Age Categories'!B5)</f>
        <v>14</v>
      </c>
      <c r="D5">
        <f>SUMIF(Raw_Data[age],'Age Categories'!B5,Raw_Data[churned])</f>
        <v>5</v>
      </c>
      <c r="F5" t="s">
        <v>1337</v>
      </c>
      <c r="G5">
        <f t="shared" si="0"/>
        <v>143</v>
      </c>
      <c r="H5" s="12">
        <f t="shared" si="1"/>
        <v>0.29729729729729731</v>
      </c>
    </row>
    <row r="6" spans="1:8" x14ac:dyDescent="0.3">
      <c r="A6" t="s">
        <v>1334</v>
      </c>
      <c r="B6">
        <v>17</v>
      </c>
      <c r="C6">
        <f>COUNTIF(Raw_Data[age],'Age Categories'!B6)</f>
        <v>17</v>
      </c>
      <c r="D6">
        <f>SUMIF(Raw_Data[age],'Age Categories'!B6,Raw_Data[churned])</f>
        <v>7</v>
      </c>
      <c r="F6" t="s">
        <v>1338</v>
      </c>
      <c r="G6">
        <f t="shared" si="0"/>
        <v>130</v>
      </c>
      <c r="H6" s="12">
        <f t="shared" si="1"/>
        <v>0.3</v>
      </c>
    </row>
    <row r="7" spans="1:8" x14ac:dyDescent="0.3">
      <c r="A7" t="s">
        <v>1335</v>
      </c>
      <c r="B7">
        <v>18</v>
      </c>
      <c r="C7">
        <f>COUNTIF(Raw_Data[age],'Age Categories'!B7)</f>
        <v>17</v>
      </c>
      <c r="D7">
        <f>SUMIF(Raw_Data[age],'Age Categories'!B7,Raw_Data[churned])</f>
        <v>4</v>
      </c>
      <c r="F7" t="s">
        <v>1339</v>
      </c>
      <c r="G7">
        <f t="shared" si="0"/>
        <v>139</v>
      </c>
      <c r="H7" s="12">
        <f t="shared" si="1"/>
        <v>0.3188405797101449</v>
      </c>
    </row>
    <row r="8" spans="1:8" x14ac:dyDescent="0.3">
      <c r="A8" t="s">
        <v>1335</v>
      </c>
      <c r="B8">
        <v>19</v>
      </c>
      <c r="C8">
        <f>COUNTIF(Raw_Data[age],'Age Categories'!B8)</f>
        <v>8</v>
      </c>
      <c r="D8">
        <f>SUMIF(Raw_Data[age],'Age Categories'!B8,Raw_Data[churned])</f>
        <v>0</v>
      </c>
    </row>
    <row r="9" spans="1:8" x14ac:dyDescent="0.3">
      <c r="A9" t="s">
        <v>1335</v>
      </c>
      <c r="B9">
        <v>20</v>
      </c>
      <c r="C9">
        <f>COUNTIF(Raw_Data[age],'Age Categories'!B9)</f>
        <v>18</v>
      </c>
      <c r="D9">
        <f>SUMIF(Raw_Data[age],'Age Categories'!B9,Raw_Data[churned])</f>
        <v>6</v>
      </c>
    </row>
    <row r="10" spans="1:8" x14ac:dyDescent="0.3">
      <c r="A10" t="s">
        <v>1335</v>
      </c>
      <c r="B10">
        <v>21</v>
      </c>
      <c r="C10">
        <f>COUNTIF(Raw_Data[age],'Age Categories'!B10)</f>
        <v>10</v>
      </c>
      <c r="D10">
        <f>SUMIF(Raw_Data[age],'Age Categories'!B10,Raw_Data[churned])</f>
        <v>4</v>
      </c>
    </row>
    <row r="11" spans="1:8" x14ac:dyDescent="0.3">
      <c r="A11" t="s">
        <v>1335</v>
      </c>
      <c r="B11">
        <v>22</v>
      </c>
      <c r="C11">
        <f>COUNTIF(Raw_Data[age],'Age Categories'!B11)</f>
        <v>16</v>
      </c>
      <c r="D11">
        <f>SUMIF(Raw_Data[age],'Age Categories'!B11,Raw_Data[churned])</f>
        <v>8</v>
      </c>
    </row>
    <row r="12" spans="1:8" x14ac:dyDescent="0.3">
      <c r="A12" t="s">
        <v>1335</v>
      </c>
      <c r="B12">
        <v>23</v>
      </c>
      <c r="C12">
        <f>COUNTIF(Raw_Data[age],'Age Categories'!B12)</f>
        <v>16</v>
      </c>
      <c r="D12">
        <f>SUMIF(Raw_Data[age],'Age Categories'!B12,Raw_Data[churned])</f>
        <v>7</v>
      </c>
    </row>
    <row r="13" spans="1:8" x14ac:dyDescent="0.3">
      <c r="A13" t="s">
        <v>1335</v>
      </c>
      <c r="B13">
        <v>24</v>
      </c>
      <c r="C13">
        <f>COUNTIF(Raw_Data[age],'Age Categories'!B13)</f>
        <v>9</v>
      </c>
      <c r="D13">
        <f>SUMIF(Raw_Data[age],'Age Categories'!B13,Raw_Data[churned])</f>
        <v>3</v>
      </c>
    </row>
    <row r="14" spans="1:8" x14ac:dyDescent="0.3">
      <c r="A14" t="s">
        <v>1336</v>
      </c>
      <c r="B14">
        <v>25</v>
      </c>
      <c r="C14">
        <f>COUNTIF(Raw_Data[age],'Age Categories'!B14)</f>
        <v>11</v>
      </c>
      <c r="D14">
        <f>SUMIF(Raw_Data[age],'Age Categories'!B14,Raw_Data[churned])</f>
        <v>2</v>
      </c>
    </row>
    <row r="15" spans="1:8" x14ac:dyDescent="0.3">
      <c r="A15" t="s">
        <v>1336</v>
      </c>
      <c r="B15">
        <v>26</v>
      </c>
      <c r="C15">
        <f>COUNTIF(Raw_Data[age],'Age Categories'!B15)</f>
        <v>17</v>
      </c>
      <c r="D15">
        <f>SUMIF(Raw_Data[age],'Age Categories'!B15,Raw_Data[churned])</f>
        <v>5</v>
      </c>
    </row>
    <row r="16" spans="1:8" x14ac:dyDescent="0.3">
      <c r="A16" t="s">
        <v>1336</v>
      </c>
      <c r="B16">
        <v>27</v>
      </c>
      <c r="C16">
        <f>COUNTIF(Raw_Data[age],'Age Categories'!B16)</f>
        <v>13</v>
      </c>
      <c r="D16">
        <f>SUMIF(Raw_Data[age],'Age Categories'!B16,Raw_Data[churned])</f>
        <v>5</v>
      </c>
    </row>
    <row r="17" spans="1:4" x14ac:dyDescent="0.3">
      <c r="A17" t="s">
        <v>1336</v>
      </c>
      <c r="B17">
        <v>28</v>
      </c>
      <c r="C17">
        <f>COUNTIF(Raw_Data[age],'Age Categories'!B17)</f>
        <v>7</v>
      </c>
      <c r="D17">
        <f>SUMIF(Raw_Data[age],'Age Categories'!B17,Raw_Data[churned])</f>
        <v>3</v>
      </c>
    </row>
    <row r="18" spans="1:4" x14ac:dyDescent="0.3">
      <c r="A18" t="s">
        <v>1336</v>
      </c>
      <c r="B18">
        <v>29</v>
      </c>
      <c r="C18">
        <f>COUNTIF(Raw_Data[age],'Age Categories'!B18)</f>
        <v>14</v>
      </c>
      <c r="D18">
        <f>SUMIF(Raw_Data[age],'Age Categories'!B18,Raw_Data[churned])</f>
        <v>2</v>
      </c>
    </row>
    <row r="19" spans="1:4" x14ac:dyDescent="0.3">
      <c r="A19" t="s">
        <v>1336</v>
      </c>
      <c r="B19">
        <v>30</v>
      </c>
      <c r="C19">
        <f>COUNTIF(Raw_Data[age],'Age Categories'!B19)</f>
        <v>12</v>
      </c>
      <c r="D19">
        <f>SUMIF(Raw_Data[age],'Age Categories'!B19,Raw_Data[churned])</f>
        <v>3</v>
      </c>
    </row>
    <row r="20" spans="1:4" x14ac:dyDescent="0.3">
      <c r="A20" t="s">
        <v>1336</v>
      </c>
      <c r="B20">
        <v>31</v>
      </c>
      <c r="C20">
        <f>COUNTIF(Raw_Data[age],'Age Categories'!B20)</f>
        <v>9</v>
      </c>
      <c r="D20">
        <f>SUMIF(Raw_Data[age],'Age Categories'!B20,Raw_Data[churned])</f>
        <v>1</v>
      </c>
    </row>
    <row r="21" spans="1:4" x14ac:dyDescent="0.3">
      <c r="A21" t="s">
        <v>1336</v>
      </c>
      <c r="B21">
        <v>32</v>
      </c>
      <c r="C21">
        <f>COUNTIF(Raw_Data[age],'Age Categories'!B21)</f>
        <v>11</v>
      </c>
      <c r="D21">
        <f>SUMIF(Raw_Data[age],'Age Categories'!B21,Raw_Data[churned])</f>
        <v>5</v>
      </c>
    </row>
    <row r="22" spans="1:4" x14ac:dyDescent="0.3">
      <c r="A22" t="s">
        <v>1336</v>
      </c>
      <c r="B22">
        <v>33</v>
      </c>
      <c r="C22">
        <f>COUNTIF(Raw_Data[age],'Age Categories'!B22)</f>
        <v>14</v>
      </c>
      <c r="D22">
        <f>SUMIF(Raw_Data[age],'Age Categories'!B22,Raw_Data[churned])</f>
        <v>4</v>
      </c>
    </row>
    <row r="23" spans="1:4" x14ac:dyDescent="0.3">
      <c r="A23" t="s">
        <v>1336</v>
      </c>
      <c r="B23">
        <v>34</v>
      </c>
      <c r="C23">
        <f>COUNTIF(Raw_Data[age],'Age Categories'!B23)</f>
        <v>12</v>
      </c>
      <c r="D23">
        <f>SUMIF(Raw_Data[age],'Age Categories'!B23,Raw_Data[churned])</f>
        <v>3</v>
      </c>
    </row>
    <row r="24" spans="1:4" x14ac:dyDescent="0.3">
      <c r="A24" t="s">
        <v>1337</v>
      </c>
      <c r="B24">
        <v>35</v>
      </c>
      <c r="C24">
        <f>COUNTIF(Raw_Data[age],'Age Categories'!B24)</f>
        <v>14</v>
      </c>
      <c r="D24">
        <f>SUMIF(Raw_Data[age],'Age Categories'!B24,Raw_Data[churned])</f>
        <v>6</v>
      </c>
    </row>
    <row r="25" spans="1:4" x14ac:dyDescent="0.3">
      <c r="A25" t="s">
        <v>1337</v>
      </c>
      <c r="B25">
        <v>36</v>
      </c>
      <c r="C25">
        <f>COUNTIF(Raw_Data[age],'Age Categories'!B25)</f>
        <v>12</v>
      </c>
      <c r="D25">
        <f>SUMIF(Raw_Data[age],'Age Categories'!B25,Raw_Data[churned])</f>
        <v>1</v>
      </c>
    </row>
    <row r="26" spans="1:4" x14ac:dyDescent="0.3">
      <c r="A26" t="s">
        <v>1337</v>
      </c>
      <c r="B26">
        <v>37</v>
      </c>
      <c r="C26">
        <f>COUNTIF(Raw_Data[age],'Age Categories'!B26)</f>
        <v>12</v>
      </c>
      <c r="D26">
        <f>SUMIF(Raw_Data[age],'Age Categories'!B26,Raw_Data[churned])</f>
        <v>6</v>
      </c>
    </row>
    <row r="27" spans="1:4" x14ac:dyDescent="0.3">
      <c r="A27" t="s">
        <v>1337</v>
      </c>
      <c r="B27">
        <v>38</v>
      </c>
      <c r="C27">
        <f>COUNTIF(Raw_Data[age],'Age Categories'!B27)</f>
        <v>22</v>
      </c>
      <c r="D27">
        <f>SUMIF(Raw_Data[age],'Age Categories'!B27,Raw_Data[churned])</f>
        <v>5</v>
      </c>
    </row>
    <row r="28" spans="1:4" x14ac:dyDescent="0.3">
      <c r="A28" t="s">
        <v>1337</v>
      </c>
      <c r="B28">
        <v>39</v>
      </c>
      <c r="C28">
        <f>COUNTIF(Raw_Data[age],'Age Categories'!B28)</f>
        <v>11</v>
      </c>
      <c r="D28">
        <f>SUMIF(Raw_Data[age],'Age Categories'!B28,Raw_Data[churned])</f>
        <v>6</v>
      </c>
    </row>
    <row r="29" spans="1:4" x14ac:dyDescent="0.3">
      <c r="A29" t="s">
        <v>1337</v>
      </c>
      <c r="B29">
        <v>40</v>
      </c>
      <c r="C29">
        <f>COUNTIF(Raw_Data[age],'Age Categories'!B29)</f>
        <v>17</v>
      </c>
      <c r="D29">
        <f>SUMIF(Raw_Data[age],'Age Categories'!B29,Raw_Data[churned])</f>
        <v>5</v>
      </c>
    </row>
    <row r="30" spans="1:4" x14ac:dyDescent="0.3">
      <c r="A30" t="s">
        <v>1337</v>
      </c>
      <c r="B30">
        <v>41</v>
      </c>
      <c r="C30">
        <f>COUNTIF(Raw_Data[age],'Age Categories'!B30)</f>
        <v>14</v>
      </c>
      <c r="D30">
        <f>SUMIF(Raw_Data[age],'Age Categories'!B30,Raw_Data[churned])</f>
        <v>4</v>
      </c>
    </row>
    <row r="31" spans="1:4" x14ac:dyDescent="0.3">
      <c r="A31" t="s">
        <v>1337</v>
      </c>
      <c r="B31">
        <v>42</v>
      </c>
      <c r="C31">
        <f>COUNTIF(Raw_Data[age],'Age Categories'!B31)</f>
        <v>16</v>
      </c>
      <c r="D31">
        <f>SUMIF(Raw_Data[age],'Age Categories'!B31,Raw_Data[churned])</f>
        <v>3</v>
      </c>
    </row>
    <row r="32" spans="1:4" x14ac:dyDescent="0.3">
      <c r="A32" t="s">
        <v>1337</v>
      </c>
      <c r="B32">
        <v>43</v>
      </c>
      <c r="C32">
        <f>COUNTIF(Raw_Data[age],'Age Categories'!B32)</f>
        <v>12</v>
      </c>
      <c r="D32">
        <f>SUMIF(Raw_Data[age],'Age Categories'!B32,Raw_Data[churned])</f>
        <v>4</v>
      </c>
    </row>
    <row r="33" spans="1:4" x14ac:dyDescent="0.3">
      <c r="A33" t="s">
        <v>1337</v>
      </c>
      <c r="B33">
        <v>44</v>
      </c>
      <c r="C33">
        <f>COUNTIF(Raw_Data[age],'Age Categories'!B33)</f>
        <v>13</v>
      </c>
      <c r="D33">
        <f>SUMIF(Raw_Data[age],'Age Categories'!B33,Raw_Data[churned])</f>
        <v>3</v>
      </c>
    </row>
    <row r="34" spans="1:4" x14ac:dyDescent="0.3">
      <c r="A34" t="s">
        <v>1338</v>
      </c>
      <c r="B34">
        <v>45</v>
      </c>
      <c r="C34">
        <f>COUNTIF(Raw_Data[age],'Age Categories'!B34)</f>
        <v>18</v>
      </c>
      <c r="D34">
        <f>SUMIF(Raw_Data[age],'Age Categories'!B34,Raw_Data[churned])</f>
        <v>4</v>
      </c>
    </row>
    <row r="35" spans="1:4" x14ac:dyDescent="0.3">
      <c r="A35" t="s">
        <v>1338</v>
      </c>
      <c r="B35">
        <v>46</v>
      </c>
      <c r="C35">
        <f>COUNTIF(Raw_Data[age],'Age Categories'!B35)</f>
        <v>14</v>
      </c>
      <c r="D35">
        <f>SUMIF(Raw_Data[age],'Age Categories'!B35,Raw_Data[churned])</f>
        <v>4</v>
      </c>
    </row>
    <row r="36" spans="1:4" x14ac:dyDescent="0.3">
      <c r="A36" t="s">
        <v>1338</v>
      </c>
      <c r="B36">
        <v>47</v>
      </c>
      <c r="C36">
        <f>COUNTIF(Raw_Data[age],'Age Categories'!B36)</f>
        <v>11</v>
      </c>
      <c r="D36">
        <f>SUMIF(Raw_Data[age],'Age Categories'!B36,Raw_Data[churned])</f>
        <v>1</v>
      </c>
    </row>
    <row r="37" spans="1:4" x14ac:dyDescent="0.3">
      <c r="A37" t="s">
        <v>1338</v>
      </c>
      <c r="B37">
        <v>48</v>
      </c>
      <c r="C37">
        <f>COUNTIF(Raw_Data[age],'Age Categories'!B37)</f>
        <v>13</v>
      </c>
      <c r="D37">
        <f>SUMIF(Raw_Data[age],'Age Categories'!B37,Raw_Data[churned])</f>
        <v>4</v>
      </c>
    </row>
    <row r="38" spans="1:4" x14ac:dyDescent="0.3">
      <c r="A38" t="s">
        <v>1338</v>
      </c>
      <c r="B38">
        <v>49</v>
      </c>
      <c r="C38">
        <f>COUNTIF(Raw_Data[age],'Age Categories'!B38)</f>
        <v>18</v>
      </c>
      <c r="D38">
        <f>SUMIF(Raw_Data[age],'Age Categories'!B38,Raw_Data[churned])</f>
        <v>3</v>
      </c>
    </row>
    <row r="39" spans="1:4" x14ac:dyDescent="0.3">
      <c r="A39" t="s">
        <v>1338</v>
      </c>
      <c r="B39">
        <v>50</v>
      </c>
      <c r="C39">
        <f>COUNTIF(Raw_Data[age],'Age Categories'!B39)</f>
        <v>15</v>
      </c>
      <c r="D39">
        <f>SUMIF(Raw_Data[age],'Age Categories'!B39,Raw_Data[churned])</f>
        <v>6</v>
      </c>
    </row>
    <row r="40" spans="1:4" x14ac:dyDescent="0.3">
      <c r="A40" t="s">
        <v>1338</v>
      </c>
      <c r="B40">
        <v>51</v>
      </c>
      <c r="C40">
        <f>COUNTIF(Raw_Data[age],'Age Categories'!B40)</f>
        <v>8</v>
      </c>
      <c r="D40">
        <f>SUMIF(Raw_Data[age],'Age Categories'!B40,Raw_Data[churned])</f>
        <v>2</v>
      </c>
    </row>
    <row r="41" spans="1:4" x14ac:dyDescent="0.3">
      <c r="A41" t="s">
        <v>1338</v>
      </c>
      <c r="B41">
        <v>52</v>
      </c>
      <c r="C41">
        <f>COUNTIF(Raw_Data[age],'Age Categories'!B41)</f>
        <v>17</v>
      </c>
      <c r="D41">
        <f>SUMIF(Raw_Data[age],'Age Categories'!B41,Raw_Data[churned])</f>
        <v>4</v>
      </c>
    </row>
    <row r="42" spans="1:4" x14ac:dyDescent="0.3">
      <c r="A42" t="s">
        <v>1338</v>
      </c>
      <c r="B42">
        <v>53</v>
      </c>
      <c r="C42">
        <f>COUNTIF(Raw_Data[age],'Age Categories'!B42)</f>
        <v>10</v>
      </c>
      <c r="D42">
        <f>SUMIF(Raw_Data[age],'Age Categories'!B42,Raw_Data[churned])</f>
        <v>4</v>
      </c>
    </row>
    <row r="43" spans="1:4" x14ac:dyDescent="0.3">
      <c r="A43" t="s">
        <v>1338</v>
      </c>
      <c r="B43">
        <v>54</v>
      </c>
      <c r="C43">
        <f>COUNTIF(Raw_Data[age],'Age Categories'!B43)</f>
        <v>6</v>
      </c>
      <c r="D43">
        <f>SUMIF(Raw_Data[age],'Age Categories'!B43,Raw_Data[churned])</f>
        <v>2</v>
      </c>
    </row>
    <row r="44" spans="1:4" x14ac:dyDescent="0.3">
      <c r="A44" t="s">
        <v>1339</v>
      </c>
      <c r="B44">
        <v>55</v>
      </c>
      <c r="C44">
        <f>COUNTIF(Raw_Data[age],'Age Categories'!B44)</f>
        <v>11</v>
      </c>
      <c r="D44">
        <f>SUMIF(Raw_Data[age],'Age Categories'!B44,Raw_Data[churned])</f>
        <v>5</v>
      </c>
    </row>
    <row r="45" spans="1:4" x14ac:dyDescent="0.3">
      <c r="A45" t="s">
        <v>1339</v>
      </c>
      <c r="B45">
        <v>56</v>
      </c>
      <c r="C45">
        <f>COUNTIF(Raw_Data[age],'Age Categories'!B45)</f>
        <v>9</v>
      </c>
      <c r="D45">
        <f>SUMIF(Raw_Data[age],'Age Categories'!B45,Raw_Data[churned])</f>
        <v>4</v>
      </c>
    </row>
    <row r="46" spans="1:4" x14ac:dyDescent="0.3">
      <c r="A46" t="s">
        <v>1339</v>
      </c>
      <c r="B46">
        <v>57</v>
      </c>
      <c r="C46">
        <f>COUNTIF(Raw_Data[age],'Age Categories'!B46)</f>
        <v>14</v>
      </c>
      <c r="D46">
        <f>SUMIF(Raw_Data[age],'Age Categories'!B46,Raw_Data[churned])</f>
        <v>5</v>
      </c>
    </row>
    <row r="47" spans="1:4" x14ac:dyDescent="0.3">
      <c r="A47" t="s">
        <v>1339</v>
      </c>
      <c r="B47">
        <v>58</v>
      </c>
      <c r="C47">
        <f>COUNTIF(Raw_Data[age],'Age Categories'!B47)</f>
        <v>9</v>
      </c>
      <c r="D47">
        <f>SUMIF(Raw_Data[age],'Age Categories'!B47,Raw_Data[churned])</f>
        <v>5</v>
      </c>
    </row>
    <row r="48" spans="1:4" x14ac:dyDescent="0.3">
      <c r="A48" t="s">
        <v>1339</v>
      </c>
      <c r="B48">
        <v>59</v>
      </c>
      <c r="C48">
        <f>COUNTIF(Raw_Data[age],'Age Categories'!B48)</f>
        <v>25</v>
      </c>
      <c r="D48">
        <f>SUMIF(Raw_Data[age],'Age Categories'!B48,Raw_Data[churned])</f>
        <v>8</v>
      </c>
    </row>
    <row r="49" spans="1:4" x14ac:dyDescent="0.3">
      <c r="A49" t="s">
        <v>1339</v>
      </c>
      <c r="B49">
        <v>60</v>
      </c>
      <c r="C49">
        <f>COUNTIF(Raw_Data[age],'Age Categories'!B49)</f>
        <v>8</v>
      </c>
      <c r="D49">
        <f>SUMIF(Raw_Data[age],'Age Categories'!B49,Raw_Data[churned])</f>
        <v>2</v>
      </c>
    </row>
    <row r="50" spans="1:4" x14ac:dyDescent="0.3">
      <c r="A50" t="s">
        <v>1339</v>
      </c>
      <c r="B50">
        <v>61</v>
      </c>
      <c r="C50">
        <f>COUNTIF(Raw_Data[age],'Age Categories'!B50)</f>
        <v>17</v>
      </c>
      <c r="D50">
        <f>SUMIF(Raw_Data[age],'Age Categories'!B50,Raw_Data[churned])</f>
        <v>5</v>
      </c>
    </row>
    <row r="51" spans="1:4" x14ac:dyDescent="0.3">
      <c r="A51" t="s">
        <v>1339</v>
      </c>
      <c r="B51">
        <v>62</v>
      </c>
      <c r="C51">
        <f>COUNTIF(Raw_Data[age],'Age Categories'!B51)</f>
        <v>11</v>
      </c>
      <c r="D51">
        <f>SUMIF(Raw_Data[age],'Age Categories'!B51,Raw_Data[churned])</f>
        <v>1</v>
      </c>
    </row>
    <row r="52" spans="1:4" x14ac:dyDescent="0.3">
      <c r="A52" t="s">
        <v>1339</v>
      </c>
      <c r="B52">
        <v>63</v>
      </c>
      <c r="C52">
        <f>COUNTIF(Raw_Data[age],'Age Categories'!B52)</f>
        <v>25</v>
      </c>
      <c r="D52">
        <f>SUMIF(Raw_Data[age],'Age Categories'!B52,Raw_Data[churned])</f>
        <v>8</v>
      </c>
    </row>
    <row r="53" spans="1:4" x14ac:dyDescent="0.3">
      <c r="A53" t="s">
        <v>1339</v>
      </c>
      <c r="B53">
        <v>64</v>
      </c>
      <c r="C53">
        <f>COUNTIF(Raw_Data[age],'Age Categories'!B53)</f>
        <v>10</v>
      </c>
      <c r="D53">
        <f>SUMIF(Raw_Data[age],'Age Categories'!B53,Raw_Data[churned])</f>
        <v>3</v>
      </c>
    </row>
  </sheetData>
  <sortState xmlns:xlrd2="http://schemas.microsoft.com/office/spreadsheetml/2017/richdata2" ref="B2:B53">
    <sortCondition ref="B2:B53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F81B-B01A-4E6A-AE9A-5374AB9A5C8D}">
  <dimension ref="A3:Q49"/>
  <sheetViews>
    <sheetView topLeftCell="E1" workbookViewId="0">
      <selection activeCell="G14" sqref="G14:P14"/>
    </sheetView>
  </sheetViews>
  <sheetFormatPr defaultRowHeight="14.4" x14ac:dyDescent="0.3"/>
  <cols>
    <col min="1" max="1" width="17" bestFit="1" customWidth="1"/>
    <col min="2" max="2" width="35.88671875" bestFit="1" customWidth="1"/>
    <col min="3" max="3" width="24.88671875" bestFit="1" customWidth="1"/>
    <col min="4" max="5" width="18.5546875" bestFit="1" customWidth="1"/>
    <col min="6" max="6" width="10.77734375" bestFit="1" customWidth="1"/>
    <col min="7" max="7" width="15.88671875" bestFit="1" customWidth="1"/>
    <col min="9" max="10" width="12" bestFit="1" customWidth="1"/>
    <col min="12" max="14" width="12" bestFit="1" customWidth="1"/>
    <col min="15" max="15" width="13.88671875" bestFit="1" customWidth="1"/>
    <col min="16" max="16" width="13" bestFit="1" customWidth="1"/>
  </cols>
  <sheetData>
    <row r="3" spans="1:17" x14ac:dyDescent="0.3">
      <c r="A3" s="6" t="s">
        <v>1316</v>
      </c>
      <c r="B3" t="s">
        <v>1318</v>
      </c>
      <c r="C3" t="s">
        <v>1319</v>
      </c>
      <c r="D3" t="s">
        <v>1320</v>
      </c>
      <c r="H3" t="s">
        <v>1322</v>
      </c>
    </row>
    <row r="4" spans="1:17" x14ac:dyDescent="0.3">
      <c r="A4" s="7" t="s">
        <v>73</v>
      </c>
      <c r="B4">
        <v>468.79999999999995</v>
      </c>
      <c r="C4">
        <v>20240</v>
      </c>
      <c r="D4">
        <v>282.72999999999996</v>
      </c>
      <c r="H4" t="s">
        <v>73</v>
      </c>
      <c r="I4" t="s">
        <v>26</v>
      </c>
      <c r="J4" t="s">
        <v>19</v>
      </c>
      <c r="K4" t="s">
        <v>29</v>
      </c>
      <c r="L4" t="s">
        <v>33</v>
      </c>
      <c r="M4" t="s">
        <v>22</v>
      </c>
      <c r="N4" t="s">
        <v>14</v>
      </c>
      <c r="O4" t="s">
        <v>39</v>
      </c>
      <c r="P4" t="s">
        <v>44</v>
      </c>
    </row>
    <row r="5" spans="1:17" x14ac:dyDescent="0.3">
      <c r="A5" s="8" t="s">
        <v>16</v>
      </c>
      <c r="B5">
        <v>135.80000000000001</v>
      </c>
      <c r="C5">
        <v>7147</v>
      </c>
      <c r="D5">
        <v>107.87999999999998</v>
      </c>
      <c r="G5" t="s">
        <v>1321</v>
      </c>
    </row>
    <row r="6" spans="1:17" x14ac:dyDescent="0.3">
      <c r="A6" s="8" t="s">
        <v>53</v>
      </c>
      <c r="B6">
        <v>26.099999999999998</v>
      </c>
      <c r="C6">
        <v>1547</v>
      </c>
      <c r="D6">
        <v>0</v>
      </c>
      <c r="G6" t="s">
        <v>1323</v>
      </c>
      <c r="H6">
        <f>COUNTIFS(Raw_Data[country],"Brazil",Raw_Data[satisfaction_score], "")</f>
        <v>1</v>
      </c>
      <c r="I6">
        <f>COUNTIFS(Raw_Data[country],"Ghana",Raw_Data[satisfaction_score], "")</f>
        <v>4</v>
      </c>
      <c r="J6">
        <f>COUNTIFS(Raw_Data[country],"India",Raw_Data[satisfaction_score], "")</f>
        <v>10</v>
      </c>
      <c r="K6">
        <f>COUNTIFS(Raw_Data[country],"Kenya",Raw_Data[satisfaction_score], "")</f>
        <v>3</v>
      </c>
      <c r="L6">
        <f>COUNTIFS(Raw_Data[country],"Nepal",Raw_Data[satisfaction_score], "")</f>
        <v>5</v>
      </c>
      <c r="M6">
        <f>COUNTIFS(Raw_Data[country],"Nigeria",Raw_Data[satisfaction_score], "")</f>
        <v>5</v>
      </c>
      <c r="N6">
        <f>COUNTIFS(Raw_Data[country],"South Africa",Raw_Data[satisfaction_score], "")</f>
        <v>2</v>
      </c>
      <c r="O6">
        <f>COUNTIFS(Raw_Data[country],"United Kingdom",Raw_Data[satisfaction_score], "")</f>
        <v>12</v>
      </c>
      <c r="P6">
        <f>COUNTIFS(Raw_Data[country],"USA",Raw_Data[satisfaction_score], "")</f>
        <v>2</v>
      </c>
    </row>
    <row r="7" spans="1:17" x14ac:dyDescent="0.3">
      <c r="A7" s="8" t="s">
        <v>66</v>
      </c>
      <c r="B7">
        <v>102</v>
      </c>
      <c r="C7">
        <v>4040</v>
      </c>
      <c r="D7">
        <v>60.95</v>
      </c>
      <c r="G7">
        <v>1</v>
      </c>
      <c r="H7">
        <f>COUNTIFS(Raw_Data[country],"Brazil",Raw_Data[satisfaction_score],1)</f>
        <v>2</v>
      </c>
      <c r="I7">
        <f>COUNTIFS(Raw_Data[country],"Ghana",Raw_Data[satisfaction_score], 1)</f>
        <v>4</v>
      </c>
      <c r="J7">
        <f>COUNTIFS(Raw_Data[country],"India",Raw_Data[satisfaction_score], 1)</f>
        <v>11</v>
      </c>
      <c r="K7">
        <f>COUNTIFS(Raw_Data[country],"Kenya",Raw_Data[satisfaction_score], 1)</f>
        <v>7</v>
      </c>
      <c r="L7">
        <f>COUNTIFS(Raw_Data[country],"Nepal",Raw_Data[satisfaction_score], 1)</f>
        <v>5</v>
      </c>
      <c r="M7">
        <f>COUNTIFS(Raw_Data[country],"Nigeria",Raw_Data[satisfaction_score], 1)</f>
        <v>6</v>
      </c>
      <c r="N7">
        <f>COUNTIFS(Raw_Data[country],"South Africa",Raw_Data[satisfaction_score], 1)</f>
        <v>9</v>
      </c>
      <c r="O7">
        <f>COUNTIFS(Raw_Data[country],"United Kingdom",Raw_Data[satisfaction_score], 1)</f>
        <v>18</v>
      </c>
      <c r="P7">
        <f>COUNTIFS(Raw_Data[country],"USA",Raw_Data[satisfaction_score], 1)</f>
        <v>11</v>
      </c>
    </row>
    <row r="8" spans="1:17" x14ac:dyDescent="0.3">
      <c r="A8" s="8" t="s">
        <v>94</v>
      </c>
      <c r="B8">
        <v>204.89999999999998</v>
      </c>
      <c r="C8">
        <v>7506</v>
      </c>
      <c r="D8">
        <v>113.89999999999998</v>
      </c>
      <c r="G8">
        <v>2</v>
      </c>
      <c r="H8">
        <f>COUNTIFS(Raw_Data[country],"Brazil",Raw_Data[satisfaction_score],2)</f>
        <v>9</v>
      </c>
      <c r="I8">
        <f>COUNTIFS(Raw_Data[country],"Ghana",Raw_Data[satisfaction_score], 2)</f>
        <v>9</v>
      </c>
      <c r="J8">
        <f>COUNTIFS(Raw_Data[country],"India",Raw_Data[satisfaction_score], 2)</f>
        <v>21</v>
      </c>
      <c r="K8">
        <f>COUNTIFS(Raw_Data[country],"Kenya",Raw_Data[satisfaction_score], 2)</f>
        <v>8</v>
      </c>
      <c r="L8">
        <f>COUNTIFS(Raw_Data[country],"Nepal",Raw_Data[satisfaction_score], 2)</f>
        <v>5</v>
      </c>
      <c r="M8">
        <f>COUNTIFS(Raw_Data[country],"Nigeria",Raw_Data[satisfaction_score], 2)</f>
        <v>15</v>
      </c>
      <c r="N8">
        <f>COUNTIFS(Raw_Data[country],"South Africa",Raw_Data[satisfaction_score], 2)</f>
        <v>10</v>
      </c>
      <c r="O8">
        <f>COUNTIFS(Raw_Data[country],"United Kingdom",Raw_Data[satisfaction_score], 2)</f>
        <v>21</v>
      </c>
      <c r="P8">
        <f>COUNTIFS(Raw_Data[country],"USA",Raw_Data[satisfaction_score], 2)</f>
        <v>8</v>
      </c>
    </row>
    <row r="9" spans="1:17" x14ac:dyDescent="0.3">
      <c r="A9" s="7" t="s">
        <v>26</v>
      </c>
      <c r="B9">
        <v>540</v>
      </c>
      <c r="C9">
        <v>27799</v>
      </c>
      <c r="D9">
        <v>295.71999999999997</v>
      </c>
      <c r="G9">
        <v>3</v>
      </c>
      <c r="H9">
        <f>COUNTIFS(Raw_Data[country],"Brazil",Raw_Data[satisfaction_score],3)</f>
        <v>13</v>
      </c>
      <c r="I9">
        <f>COUNTIFS(Raw_Data[country],"Ghana",Raw_Data[satisfaction_score], 3)</f>
        <v>21</v>
      </c>
      <c r="J9" s="9">
        <f>COUNTIFS(Raw_Data[country],"India",Raw_Data[satisfaction_score], 3)</f>
        <v>34</v>
      </c>
      <c r="K9" s="9">
        <f>COUNTIFS(Raw_Data[country],"Kenya",Raw_Data[satisfaction_score], 3)</f>
        <v>19</v>
      </c>
      <c r="L9">
        <f>COUNTIFS(Raw_Data[country],"Nepal",Raw_Data[satisfaction_score], 3)</f>
        <v>12</v>
      </c>
      <c r="M9" s="9">
        <f>COUNTIFS(Raw_Data[country],"Nigeria",Raw_Data[satisfaction_score], 3)</f>
        <v>27</v>
      </c>
      <c r="N9" s="9">
        <f>COUNTIFS(Raw_Data[country],"South Africa",Raw_Data[satisfaction_score], 3)</f>
        <v>14</v>
      </c>
      <c r="O9" s="9">
        <f>COUNTIFS(Raw_Data[country],"United Kingdom",Raw_Data[satisfaction_score], 3)</f>
        <v>62</v>
      </c>
      <c r="P9" s="9">
        <f>COUNTIFS(Raw_Data[country],"USA",Raw_Data[satisfaction_score], 3)</f>
        <v>27</v>
      </c>
    </row>
    <row r="10" spans="1:17" x14ac:dyDescent="0.3">
      <c r="A10" s="8" t="s">
        <v>16</v>
      </c>
      <c r="B10">
        <v>88.2</v>
      </c>
      <c r="C10">
        <v>5883</v>
      </c>
      <c r="D10">
        <v>73.929999999999993</v>
      </c>
      <c r="G10">
        <v>4</v>
      </c>
      <c r="H10">
        <f>COUNTIFS(Raw_Data[country],"Brazil",Raw_Data[satisfaction_score],4)</f>
        <v>7</v>
      </c>
      <c r="I10">
        <f>COUNTIFS(Raw_Data[country],"Ghana",Raw_Data[satisfaction_score], 4)</f>
        <v>9</v>
      </c>
      <c r="J10">
        <f>COUNTIFS(Raw_Data[country],"India",Raw_Data[satisfaction_score], 4)</f>
        <v>24</v>
      </c>
      <c r="K10" s="9">
        <f>COUNTIFS(Raw_Data[country],"Kenya",Raw_Data[satisfaction_score], 4)</f>
        <v>19</v>
      </c>
      <c r="L10" s="9">
        <f>COUNTIFS(Raw_Data[country],"Nepal",Raw_Data[satisfaction_score], 4)</f>
        <v>15</v>
      </c>
      <c r="M10">
        <f>COUNTIFS(Raw_Data[country],"Nigeria",Raw_Data[satisfaction_score], 4)</f>
        <v>6</v>
      </c>
      <c r="N10" s="9">
        <f>COUNTIFS(Raw_Data[country],"South Africa",Raw_Data[satisfaction_score], 4)</f>
        <v>14</v>
      </c>
      <c r="O10">
        <f>COUNTIFS(Raw_Data[country],"United Kingdom",Raw_Data[satisfaction_score], 4)</f>
        <v>43</v>
      </c>
      <c r="P10">
        <f>COUNTIFS(Raw_Data[country],"USA",Raw_Data[satisfaction_score], 4)</f>
        <v>15</v>
      </c>
    </row>
    <row r="11" spans="1:17" x14ac:dyDescent="0.3">
      <c r="A11" s="8" t="s">
        <v>53</v>
      </c>
      <c r="B11">
        <v>115.1</v>
      </c>
      <c r="C11">
        <v>6054</v>
      </c>
      <c r="D11">
        <v>0</v>
      </c>
      <c r="G11">
        <v>5</v>
      </c>
      <c r="H11">
        <f>COUNTIFS(Raw_Data[country],"Brazil",Raw_Data[satisfaction_score],5)</f>
        <v>8</v>
      </c>
      <c r="I11">
        <f>COUNTIFS(Raw_Data[country],"Ghana",Raw_Data[satisfaction_score], 5)</f>
        <v>9</v>
      </c>
      <c r="J11">
        <f>COUNTIFS(Raw_Data[country],"India",Raw_Data[satisfaction_score], 5)</f>
        <v>14</v>
      </c>
      <c r="K11">
        <f>COUNTIFS(Raw_Data[country],"Kenya",Raw_Data[satisfaction_score], 5)</f>
        <v>9</v>
      </c>
      <c r="L11">
        <f>COUNTIFS(Raw_Data[country],"Nepal",Raw_Data[satisfaction_score], 5)</f>
        <v>4</v>
      </c>
      <c r="M11">
        <f>COUNTIFS(Raw_Data[country],"Nigeria",Raw_Data[satisfaction_score], 5)</f>
        <v>6</v>
      </c>
      <c r="N11">
        <f>COUNTIFS(Raw_Data[country],"South Africa",Raw_Data[satisfaction_score], 5)</f>
        <v>6</v>
      </c>
      <c r="O11">
        <f>COUNTIFS(Raw_Data[country],"United Kingdom",Raw_Data[satisfaction_score], 5)</f>
        <v>27</v>
      </c>
      <c r="P11">
        <f>COUNTIFS(Raw_Data[country],"USA",Raw_Data[satisfaction_score], 5)</f>
        <v>13</v>
      </c>
    </row>
    <row r="12" spans="1:17" x14ac:dyDescent="0.3">
      <c r="A12" s="8" t="s">
        <v>66</v>
      </c>
      <c r="B12">
        <v>154.6</v>
      </c>
      <c r="C12">
        <v>7965</v>
      </c>
      <c r="D12">
        <v>111.88999999999999</v>
      </c>
      <c r="G12" t="s">
        <v>1324</v>
      </c>
      <c r="H12">
        <f>SUM(H6:H11)</f>
        <v>40</v>
      </c>
      <c r="I12">
        <f>SUM(I6:I11)</f>
        <v>56</v>
      </c>
      <c r="J12">
        <f>SUM(J6:J11)</f>
        <v>114</v>
      </c>
      <c r="K12">
        <f t="shared" ref="K12:P12" si="0">SUM(K6:K11)</f>
        <v>65</v>
      </c>
      <c r="L12">
        <f t="shared" si="0"/>
        <v>46</v>
      </c>
      <c r="M12">
        <f t="shared" si="0"/>
        <v>65</v>
      </c>
      <c r="N12">
        <f t="shared" si="0"/>
        <v>55</v>
      </c>
      <c r="O12">
        <f t="shared" si="0"/>
        <v>183</v>
      </c>
      <c r="P12">
        <f t="shared" si="0"/>
        <v>76</v>
      </c>
      <c r="Q12">
        <f>SUM(H12:P12)</f>
        <v>700</v>
      </c>
    </row>
    <row r="13" spans="1:17" x14ac:dyDescent="0.3">
      <c r="A13" s="8" t="s">
        <v>94</v>
      </c>
      <c r="B13">
        <v>182.10000000000002</v>
      </c>
      <c r="C13">
        <v>7897</v>
      </c>
      <c r="D13">
        <v>109.89999999999998</v>
      </c>
    </row>
    <row r="14" spans="1:17" ht="43.2" x14ac:dyDescent="0.3">
      <c r="A14" s="7" t="s">
        <v>19</v>
      </c>
      <c r="B14">
        <v>1097.7</v>
      </c>
      <c r="C14">
        <v>56986</v>
      </c>
      <c r="D14">
        <v>726.2900000000003</v>
      </c>
      <c r="G14" s="10" t="s">
        <v>1325</v>
      </c>
      <c r="H14" s="11">
        <f>D4/H12</f>
        <v>7.068249999999999</v>
      </c>
      <c r="I14" s="11">
        <f>D9/I12</f>
        <v>5.2807142857142848</v>
      </c>
      <c r="J14" s="11">
        <f>D14/J12</f>
        <v>6.3709649122807042</v>
      </c>
      <c r="K14" s="11">
        <f>D19/K12</f>
        <v>6.2859999999999996</v>
      </c>
      <c r="L14" s="11">
        <f>D24/L12</f>
        <v>7.2541304347826072</v>
      </c>
      <c r="M14" s="11">
        <f>D29/M12</f>
        <v>5.6870769230769236</v>
      </c>
      <c r="N14" s="11">
        <f>D34/N12</f>
        <v>5.9581818181818171</v>
      </c>
      <c r="O14" s="11">
        <f>D39/O12</f>
        <v>6.3327868852459046</v>
      </c>
      <c r="P14" s="11">
        <f>D44/P12</f>
        <v>6.3097368421052638</v>
      </c>
    </row>
    <row r="15" spans="1:17" x14ac:dyDescent="0.3">
      <c r="A15" s="8" t="s">
        <v>16</v>
      </c>
      <c r="B15">
        <v>293.49999999999994</v>
      </c>
      <c r="C15">
        <v>16095</v>
      </c>
      <c r="D15">
        <v>241.7700000000001</v>
      </c>
    </row>
    <row r="16" spans="1:17" x14ac:dyDescent="0.3">
      <c r="A16" s="8" t="s">
        <v>53</v>
      </c>
      <c r="B16">
        <v>127.69999999999999</v>
      </c>
      <c r="C16">
        <v>6465</v>
      </c>
      <c r="D16">
        <v>0</v>
      </c>
    </row>
    <row r="17" spans="1:16" x14ac:dyDescent="0.3">
      <c r="A17" s="8" t="s">
        <v>66</v>
      </c>
      <c r="B17">
        <v>332.10000000000008</v>
      </c>
      <c r="C17">
        <v>18080</v>
      </c>
      <c r="D17">
        <v>274.73000000000013</v>
      </c>
      <c r="G17" t="s">
        <v>1328</v>
      </c>
    </row>
    <row r="18" spans="1:16" x14ac:dyDescent="0.3">
      <c r="A18" s="8" t="s">
        <v>94</v>
      </c>
      <c r="B18">
        <v>344.40000000000009</v>
      </c>
      <c r="C18">
        <v>16346</v>
      </c>
      <c r="D18">
        <v>209.79000000000005</v>
      </c>
      <c r="H18" s="14">
        <f>AVERAGEIFS(Raw_Data[[churned]:[churned]],Raw_Data[[country]:[country]],H4)</f>
        <v>0.375</v>
      </c>
      <c r="I18" s="14">
        <f>AVERAGEIFS(Raw_Data[[churned]:[churned]],Raw_Data[[country]:[country]],I4)</f>
        <v>0.375</v>
      </c>
      <c r="J18" s="14">
        <f>AVERAGEIFS(Raw_Data[[churned]:[churned]],Raw_Data[[country]:[country]],J4)</f>
        <v>0.24561403508771928</v>
      </c>
      <c r="K18" s="14">
        <f>AVERAGEIFS(Raw_Data[[churned]:[churned]],Raw_Data[[country]:[country]],K4)</f>
        <v>0.32307692307692309</v>
      </c>
      <c r="L18" s="14">
        <f>AVERAGEIFS(Raw_Data[[churned]:[churned]],Raw_Data[[country]:[country]],L4)</f>
        <v>0.2608695652173913</v>
      </c>
      <c r="M18" s="14">
        <f>AVERAGEIFS(Raw_Data[[churned]:[churned]],Raw_Data[[country]:[country]],M4)</f>
        <v>0.38461538461538464</v>
      </c>
      <c r="N18" s="14">
        <f>AVERAGEIFS(Raw_Data[[churned]:[churned]],Raw_Data[[country]:[country]],N4)</f>
        <v>0.27272727272727271</v>
      </c>
      <c r="O18" s="14">
        <f>AVERAGEIFS(Raw_Data[[churned]:[churned]],Raw_Data[[country]:[country]],O4)</f>
        <v>0.32240437158469948</v>
      </c>
      <c r="P18" s="14">
        <f>AVERAGEIFS(Raw_Data[[churned]:[churned]],Raw_Data[[country]:[country]],P4)</f>
        <v>0.23684210526315788</v>
      </c>
    </row>
    <row r="19" spans="1:16" x14ac:dyDescent="0.3">
      <c r="A19" s="7" t="s">
        <v>29</v>
      </c>
      <c r="B19">
        <v>622</v>
      </c>
      <c r="C19">
        <v>32442</v>
      </c>
      <c r="D19">
        <v>408.59</v>
      </c>
    </row>
    <row r="20" spans="1:16" x14ac:dyDescent="0.3">
      <c r="A20" s="8" t="s">
        <v>16</v>
      </c>
      <c r="B20">
        <v>232.7</v>
      </c>
      <c r="C20">
        <v>11908</v>
      </c>
      <c r="D20">
        <v>165.84</v>
      </c>
    </row>
    <row r="21" spans="1:16" x14ac:dyDescent="0.3">
      <c r="A21" s="8" t="s">
        <v>53</v>
      </c>
      <c r="B21">
        <v>95.9</v>
      </c>
      <c r="C21">
        <v>4606</v>
      </c>
      <c r="D21">
        <v>0</v>
      </c>
    </row>
    <row r="22" spans="1:16" x14ac:dyDescent="0.3">
      <c r="A22" s="8" t="s">
        <v>66</v>
      </c>
      <c r="B22">
        <v>146.5</v>
      </c>
      <c r="C22">
        <v>8479</v>
      </c>
      <c r="D22">
        <v>124.86999999999998</v>
      </c>
    </row>
    <row r="23" spans="1:16" x14ac:dyDescent="0.3">
      <c r="A23" s="8" t="s">
        <v>94</v>
      </c>
      <c r="B23">
        <v>146.89999999999998</v>
      </c>
      <c r="C23">
        <v>7449</v>
      </c>
      <c r="D23">
        <v>117.87999999999998</v>
      </c>
    </row>
    <row r="24" spans="1:16" x14ac:dyDescent="0.3">
      <c r="A24" s="7" t="s">
        <v>33</v>
      </c>
      <c r="B24">
        <v>468.4</v>
      </c>
      <c r="C24">
        <v>22688</v>
      </c>
      <c r="D24">
        <v>333.68999999999994</v>
      </c>
    </row>
    <row r="25" spans="1:16" x14ac:dyDescent="0.3">
      <c r="A25" s="8" t="s">
        <v>16</v>
      </c>
      <c r="B25">
        <v>194.59999999999994</v>
      </c>
      <c r="C25">
        <v>9390</v>
      </c>
      <c r="D25">
        <v>147.85999999999999</v>
      </c>
    </row>
    <row r="26" spans="1:16" x14ac:dyDescent="0.3">
      <c r="A26" s="8" t="s">
        <v>53</v>
      </c>
      <c r="B26">
        <v>43.599999999999994</v>
      </c>
      <c r="C26">
        <v>2936</v>
      </c>
      <c r="D26">
        <v>0</v>
      </c>
    </row>
    <row r="27" spans="1:16" x14ac:dyDescent="0.3">
      <c r="A27" s="8" t="s">
        <v>66</v>
      </c>
      <c r="B27">
        <v>86.6</v>
      </c>
      <c r="C27">
        <v>4012</v>
      </c>
      <c r="D27">
        <v>83.92</v>
      </c>
    </row>
    <row r="28" spans="1:16" x14ac:dyDescent="0.3">
      <c r="A28" s="8" t="s">
        <v>94</v>
      </c>
      <c r="B28">
        <v>143.60000000000002</v>
      </c>
      <c r="C28">
        <v>6350</v>
      </c>
      <c r="D28">
        <v>101.90999999999998</v>
      </c>
    </row>
    <row r="29" spans="1:16" x14ac:dyDescent="0.3">
      <c r="A29" s="7" t="s">
        <v>22</v>
      </c>
      <c r="B29">
        <v>646.20000000000005</v>
      </c>
      <c r="C29">
        <v>32505</v>
      </c>
      <c r="D29">
        <v>369.66</v>
      </c>
    </row>
    <row r="30" spans="1:16" x14ac:dyDescent="0.3">
      <c r="A30" s="8" t="s">
        <v>16</v>
      </c>
      <c r="B30">
        <v>117.50000000000001</v>
      </c>
      <c r="C30">
        <v>7466</v>
      </c>
      <c r="D30">
        <v>87.92</v>
      </c>
    </row>
    <row r="31" spans="1:16" x14ac:dyDescent="0.3">
      <c r="A31" s="8" t="s">
        <v>53</v>
      </c>
      <c r="B31">
        <v>147.1</v>
      </c>
      <c r="C31">
        <v>6075</v>
      </c>
      <c r="D31">
        <v>0</v>
      </c>
    </row>
    <row r="32" spans="1:16" x14ac:dyDescent="0.3">
      <c r="A32" s="8" t="s">
        <v>66</v>
      </c>
      <c r="B32">
        <v>219.29999999999998</v>
      </c>
      <c r="C32">
        <v>9885</v>
      </c>
      <c r="D32">
        <v>159.86000000000001</v>
      </c>
    </row>
    <row r="33" spans="1:4" x14ac:dyDescent="0.3">
      <c r="A33" s="8" t="s">
        <v>94</v>
      </c>
      <c r="B33">
        <v>162.30000000000001</v>
      </c>
      <c r="C33">
        <v>9079</v>
      </c>
      <c r="D33">
        <v>121.87999999999998</v>
      </c>
    </row>
    <row r="34" spans="1:4" x14ac:dyDescent="0.3">
      <c r="A34" s="7" t="s">
        <v>14</v>
      </c>
      <c r="B34">
        <v>513.4</v>
      </c>
      <c r="C34">
        <v>27325</v>
      </c>
      <c r="D34">
        <v>327.69999999999993</v>
      </c>
    </row>
    <row r="35" spans="1:4" x14ac:dyDescent="0.3">
      <c r="A35" s="8" t="s">
        <v>16</v>
      </c>
      <c r="B35">
        <v>144.19999999999999</v>
      </c>
      <c r="C35">
        <v>6943</v>
      </c>
      <c r="D35">
        <v>108.88999999999999</v>
      </c>
    </row>
    <row r="36" spans="1:4" x14ac:dyDescent="0.3">
      <c r="A36" s="8" t="s">
        <v>53</v>
      </c>
      <c r="B36">
        <v>90.299999999999983</v>
      </c>
      <c r="C36">
        <v>4953</v>
      </c>
      <c r="D36">
        <v>0</v>
      </c>
    </row>
    <row r="37" spans="1:4" x14ac:dyDescent="0.3">
      <c r="A37" s="8" t="s">
        <v>66</v>
      </c>
      <c r="B37">
        <v>134.69999999999999</v>
      </c>
      <c r="C37">
        <v>6955</v>
      </c>
      <c r="D37">
        <v>93.919999999999987</v>
      </c>
    </row>
    <row r="38" spans="1:4" x14ac:dyDescent="0.3">
      <c r="A38" s="8" t="s">
        <v>94</v>
      </c>
      <c r="B38">
        <v>144.20000000000002</v>
      </c>
      <c r="C38">
        <v>8474</v>
      </c>
      <c r="D38">
        <v>124.88999999999997</v>
      </c>
    </row>
    <row r="39" spans="1:4" x14ac:dyDescent="0.3">
      <c r="A39" s="7" t="s">
        <v>39</v>
      </c>
      <c r="B39">
        <v>1892.1999999999998</v>
      </c>
      <c r="C39">
        <v>91276</v>
      </c>
      <c r="D39">
        <v>1158.9000000000005</v>
      </c>
    </row>
    <row r="40" spans="1:4" x14ac:dyDescent="0.3">
      <c r="A40" s="8" t="s">
        <v>16</v>
      </c>
      <c r="B40">
        <v>581.70000000000005</v>
      </c>
      <c r="C40">
        <v>27357</v>
      </c>
      <c r="D40">
        <v>383.63000000000017</v>
      </c>
    </row>
    <row r="41" spans="1:4" x14ac:dyDescent="0.3">
      <c r="A41" s="8" t="s">
        <v>53</v>
      </c>
      <c r="B41">
        <v>306.89999999999998</v>
      </c>
      <c r="C41">
        <v>15080</v>
      </c>
      <c r="D41">
        <v>0</v>
      </c>
    </row>
    <row r="42" spans="1:4" x14ac:dyDescent="0.3">
      <c r="A42" s="8" t="s">
        <v>66</v>
      </c>
      <c r="B42">
        <v>437.90000000000003</v>
      </c>
      <c r="C42">
        <v>20388</v>
      </c>
      <c r="D42">
        <v>326.68000000000018</v>
      </c>
    </row>
    <row r="43" spans="1:4" x14ac:dyDescent="0.3">
      <c r="A43" s="8" t="s">
        <v>94</v>
      </c>
      <c r="B43">
        <v>565.69999999999982</v>
      </c>
      <c r="C43">
        <v>28451</v>
      </c>
      <c r="D43">
        <v>448.59000000000026</v>
      </c>
    </row>
    <row r="44" spans="1:4" x14ac:dyDescent="0.3">
      <c r="A44" s="7" t="s">
        <v>44</v>
      </c>
      <c r="B44">
        <v>769</v>
      </c>
      <c r="C44">
        <v>38083</v>
      </c>
      <c r="D44">
        <v>479.54</v>
      </c>
    </row>
    <row r="45" spans="1:4" x14ac:dyDescent="0.3">
      <c r="A45" s="8" t="s">
        <v>16</v>
      </c>
      <c r="B45">
        <v>267.40000000000003</v>
      </c>
      <c r="C45">
        <v>11969</v>
      </c>
      <c r="D45">
        <v>181.82000000000002</v>
      </c>
    </row>
    <row r="46" spans="1:4" x14ac:dyDescent="0.3">
      <c r="A46" s="8" t="s">
        <v>53</v>
      </c>
      <c r="B46">
        <v>58.7</v>
      </c>
      <c r="C46">
        <v>3488</v>
      </c>
      <c r="D46">
        <v>0</v>
      </c>
    </row>
    <row r="47" spans="1:4" x14ac:dyDescent="0.3">
      <c r="A47" s="8" t="s">
        <v>66</v>
      </c>
      <c r="B47">
        <v>213.49999999999997</v>
      </c>
      <c r="C47">
        <v>13062</v>
      </c>
      <c r="D47">
        <v>171.83</v>
      </c>
    </row>
    <row r="48" spans="1:4" x14ac:dyDescent="0.3">
      <c r="A48" s="8" t="s">
        <v>94</v>
      </c>
      <c r="B48">
        <v>229.4</v>
      </c>
      <c r="C48">
        <v>9564</v>
      </c>
      <c r="D48">
        <v>125.88999999999999</v>
      </c>
    </row>
    <row r="49" spans="1:4" x14ac:dyDescent="0.3">
      <c r="A49" s="7" t="s">
        <v>1317</v>
      </c>
      <c r="B49">
        <v>7017.699999999998</v>
      </c>
      <c r="C49">
        <v>349344</v>
      </c>
      <c r="D49">
        <v>4382.8200000000015</v>
      </c>
    </row>
  </sheetData>
  <conditionalFormatting sqref="H6:H11">
    <cfRule type="top10" dxfId="2" priority="2" rank="1"/>
  </conditionalFormatting>
  <conditionalFormatting sqref="H18:P18">
    <cfRule type="top10" dxfId="1" priority="1" rank="1"/>
  </conditionalFormatting>
  <conditionalFormatting sqref="I6:I11">
    <cfRule type="top10" dxfId="0" priority="3" rank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60CFF8-4F46-4C32-8086-43841149A6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customer_data_removed_duplicate</vt:lpstr>
      <vt:lpstr>Churn Analysis</vt:lpstr>
      <vt:lpstr>Age Categories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Butterfield 2025 (N1423084)</dc:creator>
  <cp:lastModifiedBy>Dylan Butterfield 2025 (N1423084)</cp:lastModifiedBy>
  <dcterms:created xsi:type="dcterms:W3CDTF">2025-11-20T10:51:48Z</dcterms:created>
  <dcterms:modified xsi:type="dcterms:W3CDTF">2026-01-31T21:33:12Z</dcterms:modified>
</cp:coreProperties>
</file>